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2829e137101a93ae/Desktop/IIM Intern/Assignment/"/>
    </mc:Choice>
  </mc:AlternateContent>
  <xr:revisionPtr revIDLastSave="27" documentId="13_ncr:1_{DD704A73-1567-4DEB-9542-7B486BD04C9F}" xr6:coauthVersionLast="47" xr6:coauthVersionMax="47" xr10:uidLastSave="{09296C30-795B-4FE8-B54B-E00D0ED26E59}"/>
  <bookViews>
    <workbookView xWindow="-103" yWindow="-103" windowWidth="22149" windowHeight="13200" activeTab="2"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3" l="1"/>
  <c r="A2" i="3"/>
  <c r="B75" i="3"/>
  <c r="B12" i="3"/>
  <c r="B38" i="3"/>
  <c r="B71" i="3"/>
  <c r="B77" i="3"/>
  <c r="B51" i="3"/>
  <c r="B3" i="3"/>
  <c r="B31" i="3"/>
  <c r="B92" i="3"/>
  <c r="B48" i="3"/>
  <c r="B96" i="3"/>
  <c r="B23" i="3"/>
  <c r="B7" i="3"/>
  <c r="B13" i="3"/>
  <c r="B28" i="3"/>
  <c r="B46" i="3"/>
  <c r="B53" i="3"/>
  <c r="B84" i="3"/>
  <c r="B65" i="3"/>
  <c r="B34" i="3"/>
  <c r="B10" i="3"/>
  <c r="B8" i="3"/>
  <c r="B39" i="3"/>
  <c r="B29" i="3"/>
  <c r="B59" i="3"/>
  <c r="B2" i="3"/>
  <c r="B64" i="3"/>
  <c r="B56" i="3"/>
  <c r="B36" i="3"/>
  <c r="B9" i="3"/>
  <c r="B68" i="3"/>
  <c r="B81" i="3"/>
  <c r="B37" i="3"/>
  <c r="B40" i="3"/>
  <c r="B17" i="3"/>
  <c r="B88" i="3"/>
  <c r="B93" i="3"/>
  <c r="B60" i="3"/>
  <c r="B49" i="3"/>
  <c r="B45" i="3"/>
  <c r="B95" i="3"/>
  <c r="B21" i="3"/>
  <c r="B67" i="3"/>
  <c r="B76" i="3"/>
  <c r="B25" i="3"/>
  <c r="B35" i="3"/>
  <c r="B83" i="3"/>
  <c r="B89" i="3"/>
  <c r="B44" i="3"/>
  <c r="B14" i="3"/>
  <c r="B33" i="3"/>
  <c r="B26" i="3"/>
  <c r="B43" i="3"/>
  <c r="B62" i="3"/>
  <c r="B79" i="3"/>
  <c r="B85" i="3"/>
  <c r="B78" i="3"/>
  <c r="B58" i="3"/>
  <c r="B61" i="3"/>
  <c r="B57" i="3"/>
  <c r="B104" i="3"/>
  <c r="B107" i="3"/>
  <c r="B30" i="3"/>
  <c r="B16" i="3"/>
  <c r="B102" i="3"/>
  <c r="B41" i="3"/>
  <c r="B98" i="3"/>
  <c r="B110" i="3"/>
  <c r="B22" i="3"/>
  <c r="B87" i="3"/>
  <c r="B27" i="3"/>
  <c r="B15" i="3"/>
  <c r="B63" i="3"/>
  <c r="B42" i="3"/>
  <c r="B82" i="3"/>
  <c r="B86" i="3"/>
  <c r="B54" i="3"/>
  <c r="B55" i="3"/>
  <c r="B50" i="3"/>
  <c r="B4" i="3"/>
  <c r="B20" i="3"/>
  <c r="B5" i="3"/>
  <c r="B11" i="3"/>
  <c r="B47" i="3"/>
  <c r="B94" i="3"/>
  <c r="B99" i="3"/>
  <c r="B70" i="3"/>
  <c r="B105" i="3"/>
  <c r="B108" i="3"/>
  <c r="B113" i="3"/>
  <c r="B97" i="3"/>
  <c r="B69" i="3"/>
  <c r="B103" i="3"/>
  <c r="B100" i="3"/>
  <c r="B19" i="3"/>
  <c r="A24" i="3"/>
  <c r="A72" i="3"/>
  <c r="A75" i="3"/>
  <c r="A12" i="3"/>
  <c r="A38" i="3"/>
  <c r="A71" i="3"/>
  <c r="A77" i="3"/>
  <c r="A51" i="3"/>
  <c r="A3" i="3"/>
  <c r="A31" i="3"/>
  <c r="A92" i="3"/>
  <c r="A48" i="3"/>
  <c r="A96" i="3"/>
  <c r="A23" i="3"/>
  <c r="A7" i="3"/>
  <c r="A13" i="3"/>
  <c r="A28" i="3"/>
  <c r="A6" i="3"/>
  <c r="A18" i="3"/>
  <c r="A46" i="3"/>
  <c r="A53" i="3"/>
  <c r="A84" i="3"/>
  <c r="A65" i="3"/>
  <c r="A34" i="3"/>
  <c r="A10" i="3"/>
  <c r="A8" i="3"/>
  <c r="A39" i="3"/>
  <c r="A29" i="3"/>
  <c r="A59" i="3"/>
  <c r="A64" i="3"/>
  <c r="A56" i="3"/>
  <c r="A36" i="3"/>
  <c r="A9" i="3"/>
  <c r="A68" i="3"/>
  <c r="A32" i="3"/>
  <c r="A74" i="3"/>
  <c r="A81" i="3"/>
  <c r="A37" i="3"/>
  <c r="A40" i="3"/>
  <c r="A17" i="3"/>
  <c r="A88" i="3"/>
  <c r="A93" i="3"/>
  <c r="A60" i="3"/>
  <c r="A49" i="3"/>
  <c r="A45" i="3"/>
  <c r="A95" i="3"/>
  <c r="A67" i="3"/>
  <c r="A76" i="3"/>
  <c r="A25" i="3"/>
  <c r="A35" i="3"/>
  <c r="A73" i="3"/>
  <c r="A80" i="3"/>
  <c r="A83" i="3"/>
  <c r="A89" i="3"/>
  <c r="A44" i="3"/>
  <c r="A14" i="3"/>
  <c r="A33" i="3"/>
  <c r="A26" i="3"/>
  <c r="A43" i="3"/>
  <c r="A62" i="3"/>
  <c r="A79" i="3"/>
  <c r="A85" i="3"/>
  <c r="A78" i="3"/>
  <c r="A58" i="3"/>
  <c r="A61" i="3"/>
  <c r="A57" i="3"/>
  <c r="A104" i="3"/>
  <c r="A107" i="3"/>
  <c r="A106" i="3"/>
  <c r="A90" i="3"/>
  <c r="A66" i="3"/>
  <c r="A30" i="3"/>
  <c r="A102" i="3"/>
  <c r="A41" i="3"/>
  <c r="A98" i="3"/>
  <c r="A110" i="3"/>
  <c r="A22" i="3"/>
  <c r="A87" i="3"/>
  <c r="A27" i="3"/>
  <c r="A15" i="3"/>
  <c r="A63" i="3"/>
  <c r="A42" i="3"/>
  <c r="A82" i="3"/>
  <c r="A86" i="3"/>
  <c r="A54" i="3"/>
  <c r="A111" i="3"/>
  <c r="A91" i="3"/>
  <c r="A52" i="3"/>
  <c r="A55" i="3"/>
  <c r="A50" i="3"/>
  <c r="A4" i="3"/>
  <c r="A20" i="3"/>
  <c r="A5" i="3"/>
  <c r="A11" i="3"/>
  <c r="A47" i="3"/>
  <c r="A94" i="3"/>
  <c r="A99" i="3"/>
  <c r="A70" i="3"/>
  <c r="A105" i="3"/>
  <c r="A108" i="3"/>
  <c r="A113" i="3"/>
  <c r="A101" i="3"/>
  <c r="A109" i="3"/>
  <c r="A112" i="3"/>
  <c r="A97" i="3"/>
  <c r="A69" i="3"/>
  <c r="A103" i="3"/>
  <c r="A100" i="3"/>
  <c r="A19" i="3"/>
  <c r="L3" i="2"/>
  <c r="B24" i="3" s="1"/>
  <c r="L4" i="2"/>
  <c r="B72" i="3" s="1"/>
  <c r="L5" i="2"/>
  <c r="L6" i="2"/>
  <c r="L7" i="2"/>
  <c r="L8" i="2"/>
  <c r="L9" i="2"/>
  <c r="L10" i="2"/>
  <c r="L11" i="2"/>
  <c r="L12" i="2"/>
  <c r="L13" i="2"/>
  <c r="L14" i="2"/>
  <c r="L15" i="2"/>
  <c r="L16" i="2"/>
  <c r="L17" i="2"/>
  <c r="L18" i="2"/>
  <c r="L19" i="2"/>
  <c r="L20" i="2"/>
  <c r="L21" i="2"/>
  <c r="B6" i="3" s="1"/>
  <c r="L22" i="2"/>
  <c r="B18" i="3" s="1"/>
  <c r="L23" i="2"/>
  <c r="L24" i="2"/>
  <c r="L25" i="2"/>
  <c r="L26" i="2"/>
  <c r="L27" i="2"/>
  <c r="L28" i="2"/>
  <c r="L29" i="2"/>
  <c r="L30" i="2"/>
  <c r="L31" i="2"/>
  <c r="L32" i="2"/>
  <c r="L33" i="2"/>
  <c r="L34" i="2"/>
  <c r="L35" i="2"/>
  <c r="L36" i="2"/>
  <c r="L37" i="2"/>
  <c r="L38" i="2"/>
  <c r="L39" i="2"/>
  <c r="B32" i="3" s="1"/>
  <c r="L40" i="2"/>
  <c r="B74" i="3" s="1"/>
  <c r="L41" i="2"/>
  <c r="L42" i="2"/>
  <c r="L43" i="2"/>
  <c r="L44" i="2"/>
  <c r="L45" i="2"/>
  <c r="L46" i="2"/>
  <c r="L47" i="2"/>
  <c r="L48" i="2"/>
  <c r="L49" i="2"/>
  <c r="L50" i="2"/>
  <c r="L51" i="2"/>
  <c r="L52" i="2"/>
  <c r="L53" i="2"/>
  <c r="L54" i="2"/>
  <c r="L55" i="2"/>
  <c r="L56" i="2"/>
  <c r="L57" i="2"/>
  <c r="B73" i="3" s="1"/>
  <c r="L58" i="2"/>
  <c r="B80" i="3" s="1"/>
  <c r="L59" i="2"/>
  <c r="L60" i="2"/>
  <c r="L61" i="2"/>
  <c r="L62" i="2"/>
  <c r="L63" i="2"/>
  <c r="L64" i="2"/>
  <c r="L65" i="2"/>
  <c r="L66" i="2"/>
  <c r="L67" i="2"/>
  <c r="L68" i="2"/>
  <c r="L69" i="2"/>
  <c r="L70" i="2"/>
  <c r="L71" i="2"/>
  <c r="L72" i="2"/>
  <c r="L73" i="2"/>
  <c r="L74" i="2"/>
  <c r="L75" i="2"/>
  <c r="B106" i="3" s="1"/>
  <c r="L76" i="2"/>
  <c r="B90" i="3" s="1"/>
  <c r="L77" i="2"/>
  <c r="B66" i="3" s="1"/>
  <c r="L78" i="2"/>
  <c r="L79" i="2"/>
  <c r="L80" i="2"/>
  <c r="L81" i="2"/>
  <c r="L82" i="2"/>
  <c r="L83" i="2"/>
  <c r="L84" i="2"/>
  <c r="L85" i="2"/>
  <c r="L86" i="2"/>
  <c r="L87" i="2"/>
  <c r="L88" i="2"/>
  <c r="L89" i="2"/>
  <c r="L90" i="2"/>
  <c r="L91" i="2"/>
  <c r="L92" i="2"/>
  <c r="L93" i="2"/>
  <c r="B111" i="3" s="1"/>
  <c r="L94" i="2"/>
  <c r="B91" i="3" s="1"/>
  <c r="L95" i="2"/>
  <c r="B52" i="3" s="1"/>
  <c r="L96" i="2"/>
  <c r="L97" i="2"/>
  <c r="L98" i="2"/>
  <c r="L99" i="2"/>
  <c r="L100" i="2"/>
  <c r="L101" i="2"/>
  <c r="L102" i="2"/>
  <c r="L103" i="2"/>
  <c r="L104" i="2"/>
  <c r="L105" i="2"/>
  <c r="L106" i="2"/>
  <c r="L107" i="2"/>
  <c r="L108" i="2"/>
  <c r="L109" i="2"/>
  <c r="L110" i="2"/>
  <c r="L111" i="2"/>
  <c r="B101" i="3" s="1"/>
  <c r="L112" i="2"/>
  <c r="B109" i="3" s="1"/>
  <c r="L113" i="2"/>
  <c r="B112" i="3" s="1"/>
  <c r="L114" i="2"/>
  <c r="L115" i="2"/>
  <c r="L116" i="2"/>
  <c r="L117" i="2"/>
  <c r="L2" i="2"/>
</calcChain>
</file>

<file path=xl/sharedStrings.xml><?xml version="1.0" encoding="utf-8"?>
<sst xmlns="http://schemas.openxmlformats.org/spreadsheetml/2006/main" count="770" uniqueCount="573">
  <si>
    <t>Incubator</t>
  </si>
  <si>
    <t>Location</t>
  </si>
  <si>
    <t>Launched / Founded</t>
  </si>
  <si>
    <t>Sector(s)</t>
  </si>
  <si>
    <t>Investment / Funding Structure</t>
  </si>
  <si>
    <t>Startups Incubated</t>
  </si>
  <si>
    <t>Number of Exits</t>
  </si>
  <si>
    <t>Direct Capital Deployed (Rs)</t>
  </si>
  <si>
    <t>Portfolio Quality (% startups that raised funding)</t>
  </si>
  <si>
    <t>Current Active Capacity</t>
  </si>
  <si>
    <t>Age &amp; Operational Maturity</t>
  </si>
  <si>
    <t>Corporate Partnerships</t>
  </si>
  <si>
    <t>Investor Network</t>
  </si>
  <si>
    <t>Talent Pool &amp; Recruitment</t>
  </si>
  <si>
    <t>Sectoral Expertise</t>
  </si>
  <si>
    <t>Geographic &amp; Demographic Diversity</t>
  </si>
  <si>
    <t>Sources</t>
  </si>
  <si>
    <t>Unnamed: 18</t>
  </si>
  <si>
    <t>Unnamed: 19</t>
  </si>
  <si>
    <t>Verification_Note</t>
  </si>
  <si>
    <t>Amity Innovation Incubator</t>
  </si>
  <si>
    <t>Amrita TBI, Amrita VishwaVidhyapeetham</t>
  </si>
  <si>
    <t>BAIT-TBI (Bannari Amman Institute of Technology – Technology Business Incubator)</t>
  </si>
  <si>
    <t>Bihar Entrepreneurs Association (BEA)</t>
  </si>
  <si>
    <t>Bio Incubator at C-CAMP</t>
  </si>
  <si>
    <t>CED</t>
  </si>
  <si>
    <t>Centre For Entrepreneurship and Development</t>
  </si>
  <si>
    <t>CET – Technology Business Incubator</t>
  </si>
  <si>
    <t>Center For Incubation and Business Acceleration</t>
  </si>
  <si>
    <t>CIIE IIM-A</t>
  </si>
  <si>
    <t>Coimbatore Innovation and Business Incubator</t>
  </si>
  <si>
    <t>Composites Technology Park</t>
  </si>
  <si>
    <t>Consumer Electronics Incubator at Cochin, Kerala</t>
  </si>
  <si>
    <t>DA-IICT Incubator CEID</t>
  </si>
  <si>
    <t>DLabs</t>
  </si>
  <si>
    <t>Foundation For Innovation And Technology Transfer, IIT-D</t>
  </si>
  <si>
    <t>IAN Incubator</t>
  </si>
  <si>
    <t>IIM Calcutta Innovation Park</t>
  </si>
  <si>
    <t>IIT Hyderabad Incubator</t>
  </si>
  <si>
    <t>IIT Madras Incubation Cell (IITMIC)</t>
  </si>
  <si>
    <t>IIIT-H Foundation</t>
  </si>
  <si>
    <t>IIT Gandhinagar Incubator</t>
  </si>
  <si>
    <t>IITG – Technology Incubation Centre (IITG-TIC)</t>
  </si>
  <si>
    <t>Incube Ventures</t>
  </si>
  <si>
    <t>Innovation &amp; Incubation Centre</t>
  </si>
  <si>
    <t>International Centre for Entrepreneurship and Technology</t>
  </si>
  <si>
    <t>Kerala Startup Mission KSUM</t>
  </si>
  <si>
    <t>Life Science Incubator at IKP Knowledge Park</t>
  </si>
  <si>
    <t>Malviya Centre for Innovation Incubation &amp; Entrepreneurship, IIT BHU</t>
  </si>
  <si>
    <t>Manipal University Technology Business Incubator</t>
  </si>
  <si>
    <t>MICA – Incubator</t>
  </si>
  <si>
    <t>NASSCOM 10,000 Startups</t>
  </si>
  <si>
    <t>NDBI (NID Incubator)</t>
  </si>
  <si>
    <t>NITK-Science Technology Entrepreneurship Park</t>
  </si>
  <si>
    <t>NIT TREC-STEP</t>
  </si>
  <si>
    <t>NSRCEL, IIM Bangalore</t>
  </si>
  <si>
    <t>Periyar Technology Business Incubator</t>
  </si>
  <si>
    <t>PSG-STEP</t>
  </si>
  <si>
    <t>Sardar Patel Technology Business Incubator</t>
  </si>
  <si>
    <t>Sathyabama University-TBI</t>
  </si>
  <si>
    <t>Rural Technology and Business Incubator (RTBI)</t>
  </si>
  <si>
    <t>Science &amp; Technology Park, University of Pune</t>
  </si>
  <si>
    <t>SIDBI Innovation &amp; Incubation Centre, IIT Kanpur</t>
  </si>
  <si>
    <t>SMVDU TBIC</t>
  </si>
  <si>
    <t>Society for Innovation &amp; Entrepreneurship in Dairying (SINED) Technology Business Incubator</t>
  </si>
  <si>
    <t>Startup Oasis Rajasthan</t>
  </si>
  <si>
    <t>STEP-Birla Institute of Technology</t>
  </si>
  <si>
    <t>STEP, Thapar University</t>
  </si>
  <si>
    <t>Tagore Centre for Green Technology Business Incubation</t>
  </si>
  <si>
    <t>TBI, BITS Pilani</t>
  </si>
  <si>
    <t>Technology Business Incubator, Centre for Biotechnology, Anna University</t>
  </si>
  <si>
    <t>Technology Business Incubator, Graphic Era University, Dehradun</t>
  </si>
  <si>
    <t>Technology Business Incubator, IIT-D</t>
  </si>
  <si>
    <t>TIETS, IIT Kgp</t>
  </si>
  <si>
    <t>Technology Business Incubator, KIIT University</t>
  </si>
  <si>
    <t>Technology Business Incubator NIT Calicut</t>
  </si>
  <si>
    <t>Technology Business Incubator for Medical Devices &amp; Biomaterials</t>
  </si>
  <si>
    <t>University of Madras, Technology Business Incubator</t>
  </si>
  <si>
    <t>UnLtd Hyderabad</t>
  </si>
  <si>
    <t>Vellore Institute of Technology – Technology Business Incubator</t>
  </si>
  <si>
    <t>Venture Center</t>
  </si>
  <si>
    <t>Villgro Innovations Foundation</t>
  </si>
  <si>
    <t>Wadhwani Centre For Entrepreneurship Development</t>
  </si>
  <si>
    <t>Zone Startups India</t>
  </si>
  <si>
    <t>Centre for Innovation and Entrepreneurship, IIIT-H</t>
  </si>
  <si>
    <t>Development of Entrepreneurs Through Incubation (DETI@ACE)</t>
  </si>
  <si>
    <t>DKTE Technology Business Incubator</t>
  </si>
  <si>
    <t>Ekta Incubation Center, Maulana Kalam Azad University of Technology</t>
  </si>
  <si>
    <t>Golden Jublee Women Biotech Park</t>
  </si>
  <si>
    <t>Gujarat State Biotechnology Mission (GSBTM)</t>
  </si>
  <si>
    <t>Healthcare Technology Innovation Centre (HTIC)</t>
  </si>
  <si>
    <t>Hindustan College of Engineering and Technology</t>
  </si>
  <si>
    <t>HIT Incubator, Hitech Institute of Technology</t>
  </si>
  <si>
    <t>IIIT-Allahabad Info Communication Incubation Center</t>
  </si>
  <si>
    <t>Incubation Centre, IIT- Patna</t>
  </si>
  <si>
    <t>KSIDC, Kerala</t>
  </si>
  <si>
    <t>MITCON Biopharma</t>
  </si>
  <si>
    <t>MITCON Biotechnology Business Incubation Centre</t>
  </si>
  <si>
    <t>National Small Industries Corporation Limited</t>
  </si>
  <si>
    <t>niet-technology-business-incubatorNIET Technology Business Incubator</t>
  </si>
  <si>
    <t>NSIC Technical Services Centre</t>
  </si>
  <si>
    <t>ROLTA Innovation and Incubation Centre</t>
  </si>
  <si>
    <t>Science &amp; Technology Entrepreneurs Park</t>
  </si>
  <si>
    <t>Shri Shankaracharya Technical Campus</t>
  </si>
  <si>
    <t>Society for Innovation &amp; Development (SID)</t>
  </si>
  <si>
    <t>STEP- IIT Roorkee</t>
  </si>
  <si>
    <t>St.Peter’s Engineering College – Technology Business Incubator</t>
  </si>
  <si>
    <t>TBI at Krishnapath Incubation Society</t>
  </si>
  <si>
    <t>Technology Incubation and Development of Entrepreneurship</t>
  </si>
  <si>
    <t>Technology Innovation and Incubation Centre</t>
  </si>
  <si>
    <t>Technology Business Incubator</t>
  </si>
  <si>
    <t>imageTIDES Incubation Centre</t>
  </si>
  <si>
    <t>Trident Business Incubator</t>
  </si>
  <si>
    <t>Vel Tech Technology Incubator startup-incubators</t>
  </si>
  <si>
    <t>Patel Pharmaceutical Education &amp; Research Development (PERD) Centre</t>
  </si>
  <si>
    <t>Google for Startups Accelerator: India (AI First)</t>
  </si>
  <si>
    <t>Flipkart Leap</t>
  </si>
  <si>
    <t>T-Hub</t>
  </si>
  <si>
    <t>IKP Eden</t>
  </si>
  <si>
    <t>SINE (Society for Innovation &amp; Entrepreneurship) - IIT Bombay</t>
  </si>
  <si>
    <t>Maker Village - Kochi</t>
  </si>
  <si>
    <t>IIT Mandi Catalyst</t>
  </si>
  <si>
    <t>AIC Pinnacle</t>
  </si>
  <si>
    <t>AIC-CCMB</t>
  </si>
  <si>
    <t>AIC T-Hub</t>
  </si>
  <si>
    <t>IIM Udaipur Incubation Centre</t>
  </si>
  <si>
    <t>AIC-RNTU</t>
  </si>
  <si>
    <t>Crescent Innovation &amp; Incubation Council</t>
  </si>
  <si>
    <t>Idea Pattarai</t>
  </si>
  <si>
    <t>AIC NIFT-TEA</t>
  </si>
  <si>
    <t>AIC-Nalanda</t>
  </si>
  <si>
    <t>AIC-SMUTBI</t>
  </si>
  <si>
    <t>AIC Banasthali</t>
  </si>
  <si>
    <t>NFDI (NIFT Foundation for Design Innovation)</t>
  </si>
  <si>
    <t>Home &amp; Spaces Incubator</t>
  </si>
  <si>
    <t>AIC RAISE</t>
  </si>
  <si>
    <t>Noida</t>
  </si>
  <si>
    <t>Kollam, Kerala</t>
  </si>
  <si>
    <t>Tamil Nadu</t>
  </si>
  <si>
    <t>Patna, Bihar</t>
  </si>
  <si>
    <t>Karnataka</t>
  </si>
  <si>
    <t>Gujarat, Tamil Nadu</t>
  </si>
  <si>
    <t>Hyderabad</t>
  </si>
  <si>
    <t>Kerala</t>
  </si>
  <si>
    <t>Goa</t>
  </si>
  <si>
    <t>Ahmedabad, Pune</t>
  </si>
  <si>
    <t>Kumaraguru College of Technology (KCT)</t>
  </si>
  <si>
    <t>Bengaluru, Karnataka</t>
  </si>
  <si>
    <t>Cochin</t>
  </si>
  <si>
    <t>Gandhinagar, Gujarat</t>
  </si>
  <si>
    <t>Delhi</t>
  </si>
  <si>
    <t>West Bengal</t>
  </si>
  <si>
    <t>Chennai</t>
  </si>
  <si>
    <t>Telangana</t>
  </si>
  <si>
    <t>Guwahati</t>
  </si>
  <si>
    <t>Ahmedabad</t>
  </si>
  <si>
    <t>Trivandrum, Kerala</t>
  </si>
  <si>
    <t>Varanasi</t>
  </si>
  <si>
    <t>Manipal</t>
  </si>
  <si>
    <t>Gujarat</t>
  </si>
  <si>
    <t>Bengaluru, Noida, Gurugram, Kolkata, Navi Mumbai, Chennai, Hyderabad, Pune, Kochi, and Vizag.</t>
  </si>
  <si>
    <t>Ahmedabad, Bengaluru, Gandhinagar</t>
  </si>
  <si>
    <t>Mangalore, Karnataka</t>
  </si>
  <si>
    <t>NIT Campus, Tiruchirapalli</t>
  </si>
  <si>
    <t>Bengaluru</t>
  </si>
  <si>
    <t>Coimbatore</t>
  </si>
  <si>
    <t>Mumbai, Maharashtra</t>
  </si>
  <si>
    <t>Pune</t>
  </si>
  <si>
    <t>Kanpur</t>
  </si>
  <si>
    <t>Jammu and Kashmir</t>
  </si>
  <si>
    <t>Karnal, Haryana</t>
  </si>
  <si>
    <t>Rajasthan</t>
  </si>
  <si>
    <t>Ranchi</t>
  </si>
  <si>
    <t>Patiala</t>
  </si>
  <si>
    <t>Pilani</t>
  </si>
  <si>
    <t>Uttarakhand</t>
  </si>
  <si>
    <t>Bhubaneshwar, Odisha</t>
  </si>
  <si>
    <t>Calicut</t>
  </si>
  <si>
    <t>VIT, Vellore</t>
  </si>
  <si>
    <t>Stock Exchange, Mumbai</t>
  </si>
  <si>
    <t>Pune, Maharashtra</t>
  </si>
  <si>
    <t>Odisha</t>
  </si>
  <si>
    <t>UP</t>
  </si>
  <si>
    <t>Patna</t>
  </si>
  <si>
    <t>New Delhi</t>
  </si>
  <si>
    <t>Madhya Pradesh</t>
  </si>
  <si>
    <t>Bhilai, Chhattisgarh</t>
  </si>
  <si>
    <t>Roorkee, Uttarakhand</t>
  </si>
  <si>
    <t>Ghaziabad, U.P</t>
  </si>
  <si>
    <t>Gwalior, Madhya Pradesh</t>
  </si>
  <si>
    <t>Multiple (India)</t>
  </si>
  <si>
    <t>Hyderabad, Telangana</t>
  </si>
  <si>
    <t>Kochi, Kerala</t>
  </si>
  <si>
    <t>Kamand, Mandi, Himachal Pradesh</t>
  </si>
  <si>
    <t>Udaipur, Rajasthan</t>
  </si>
  <si>
    <t>Raisen/Bhopal, Madhya Pradesh</t>
  </si>
  <si>
    <t>Vandalur, Chennai, Tamil Nadu</t>
  </si>
  <si>
    <t>Tamil Nadu (statewide, via MudhalVC)</t>
  </si>
  <si>
    <t>Tirupur, Tamil Nadu</t>
  </si>
  <si>
    <t>Bhubaneswar, Odisha</t>
  </si>
  <si>
    <t>Majitar, Sikkim</t>
  </si>
  <si>
    <t>Tonk, Rajasthan (Banasthali Vidyapith)</t>
  </si>
  <si>
    <t>New Delhi (HQ; regional incubators in Delhi, Mumbai x2, Chennai)</t>
  </si>
  <si>
    <t>New Delhi (NIFT Delhi campus)</t>
  </si>
  <si>
    <t>Coimbatore, Tamil Nadu (Rathinam Techzone)</t>
  </si>
  <si>
    <t>Rural innovation and social entrepreneurship, information and communication technologies (to include social media and ecommerce, mobile computing and technologies, analytics, cloud computing and big data), education and education technologies, food and allied technologies, biotechnology and life sciences, nanotechnology, and material sciences.</t>
  </si>
  <si>
    <t>Technology, social welfare, agriculture, ICT</t>
  </si>
  <si>
    <t>Application of biotechnology in agriculture, industry &amp; rural development</t>
  </si>
  <si>
    <t>Sector-agnostic</t>
  </si>
  <si>
    <t>Life services, healthcare, agriculture, pharma, biopharma, diagnostics, and medtech.</t>
  </si>
  <si>
    <t>Industry, IT, textile, jewellery, environment/social welfare</t>
  </si>
  <si>
    <t>CED conducts EDP, REDP, PMRY, WEDP, EAC’s, TOT’s, agri-clinic and agri-business development programmes. It also provides follow-up services after the training programmes.agri-clinic and agri-business development programmes. It also provides follow-up services after the training programmes.</t>
  </si>
  <si>
    <t>Green technology</t>
  </si>
  <si>
    <t>Information communication technology, cleantech and social, big data, cloud, payments, and fintech.</t>
  </si>
  <si>
    <t>Electronics (IoT) and technology services (industrial/engineering design, automation)</t>
  </si>
  <si>
    <t>Composites based on coir, bamboo, jute</t>
  </si>
  <si>
    <t>Electronics</t>
  </si>
  <si>
    <t>Information and communications technology or technologies</t>
  </si>
  <si>
    <t>Human-centred design, design thinking</t>
  </si>
  <si>
    <t>Science and Engineering</t>
  </si>
  <si>
    <t>Sector-agnostic (cleantech, manufacturing, IT, web-enabled services, healthcare, foodtech, ecommerce, fintech etc.)</t>
  </si>
  <si>
    <t>Social enterprises, MSME’s</t>
  </si>
  <si>
    <t>IT, big data, cloud technology, GIS, healthcare, events</t>
  </si>
  <si>
    <t>Technology- and knowledge-based ventures</t>
  </si>
  <si>
    <t>Artificial intelligence, AR/VR, gaming</t>
  </si>
  <si>
    <t>High growth technology companies that generate commercial and social impact.</t>
  </si>
  <si>
    <t>Electronics &amp; communication engineering, computer science &amp; engineering, biotechnology, pharmaceutical, information technology, polymer products, fruit processing, herbal medicines, electrical appliances, metal utensils/ accessories, agriculture implements, cane &amp; bamboo products, engineering industries, product development, testing &amp; trials, test marketing, mentoring</t>
  </si>
  <si>
    <t>Healthcare deliveries, clean energy, sustainable rural business</t>
  </si>
  <si>
    <t>New and renewable energy, oil &amp; gas, agricultural, healthcare &amp; pharmaceuticals, transportation, computer technology, information technology, chemical, education, material science, civil &amp; infrastructure, ecommerce, art, automobile technology, aerospace technology, communication, and electronics.</t>
  </si>
  <si>
    <t>Information Technology, electronics, biotechnology, nano-technology, robotics, non-conventional energy – green, bio-medical equipment &amp; devices, agro &amp; food processing</t>
  </si>
  <si>
    <t>IT, electronics, bioinformatics, and e-learning</t>
  </si>
  <si>
    <t>Pharmaceutical and biotechnology</t>
  </si>
  <si>
    <t>Firms that can create jobs, commercialise new technologies, and strengthen the national economy</t>
  </si>
  <si>
    <t>Information technology, renewable energy and energy conservation system, MEMS/nanotechnology</t>
  </si>
  <si>
    <t>Communication service technologies, communication product technologies, communication equipment, applications tools for communication business</t>
  </si>
  <si>
    <t>Young, design-focussed entrepreneurs</t>
  </si>
  <si>
    <t>Information technology, electronics &amp; robotics, multi-disciplinary technology integration, engineering design, and consultancy.</t>
  </si>
  <si>
    <t>Cleantech, IT, engineering, biotech</t>
  </si>
  <si>
    <t>Sector-agnostic (ecommerce, fintech, healthcare, FMCG, social enterprises, and cloud-based IT solutions)</t>
  </si>
  <si>
    <t>Herbal, health products, biotechnology, food processing, and agro ventures.</t>
  </si>
  <si>
    <t>ICT, electronics, and mechanical</t>
  </si>
  <si>
    <t>Education, health, energy, livelihood and smart city technologies, IOT, ecommerce , innovative SaaS, big data, cloud computing, artificial intelligence, hybrid business models with technology at its core, social startups, women-led startups.</t>
  </si>
  <si>
    <t>Marine, biotechnology, engineering and tech, waste management.</t>
  </si>
  <si>
    <t>Rural/underserved societal segments, leveraging ICT (Information and Communication Technologies)</t>
  </si>
  <si>
    <t>IT &amp; innovative technologies</t>
  </si>
  <si>
    <t>Technology related ventures</t>
  </si>
  <si>
    <t>Biotechnology (microbial, plant, medical genetics and diagnostics), engineering (electronics, robotics, ecommerce, GSM/GPRS based technology, alternative energy management, and business development.</t>
  </si>
  <si>
    <t>Dairy and food processing, feed technology, dairy farming, fish farming, apiculture &amp; honey processing, biofertilisers, biopesticides &amp; panch-gavya products based on dung and urine.</t>
  </si>
  <si>
    <t>Mechanical engineering</t>
  </si>
  <si>
    <t>Agri bio-technology, bio-fertiliser, food biotechnology, tissue culture.</t>
  </si>
  <si>
    <t>Biotechnology, bioprocess technology, molecular biology, cell biology, immunology &amp; genetic engineering.</t>
  </si>
  <si>
    <t>Biotechnology, IT, environment, ecology</t>
  </si>
  <si>
    <t>Technology, research, industry</t>
  </si>
  <si>
    <t>ICT and electronics, wireless communication, image processing, and medical.</t>
  </si>
  <si>
    <t>Technology, knowledge</t>
  </si>
  <si>
    <t>Medical devices, biomaterials, healthcare</t>
  </si>
  <si>
    <t>Health-related herbal and biotech industries</t>
  </si>
  <si>
    <t>Social welfare</t>
  </si>
  <si>
    <t>Automotive engineering, biotechnology, ICT, and manufacturing</t>
  </si>
  <si>
    <t>Tech startups offering products and services exploiting scientific expertise in the areas of materials, chemicals and biological sciences &amp; engineering</t>
  </si>
  <si>
    <t>Social enterprises</t>
  </si>
  <si>
    <t>Tech startups</t>
  </si>
  <si>
    <t>Gaming, machine learning, IOT</t>
  </si>
  <si>
    <t>GPS and ICT-based systems</t>
  </si>
  <si>
    <t>Innovative technologies in biotechnology, Ayurveda, biomedicine, renewable energy, environment, IT, engineering and electronic sectors, along with textile &amp; garment technology</t>
  </si>
  <si>
    <t>Biotech and IT, Bio-informatics, computer sciences, and material sciences</t>
  </si>
  <si>
    <t>Biotechnology and allied areas</t>
  </si>
  <si>
    <t>Biotechnology</t>
  </si>
  <si>
    <t>Medical devices</t>
  </si>
  <si>
    <t>Technology and entrepreneurship</t>
  </si>
  <si>
    <t>Electrical, electronics &amp; computer engineering</t>
  </si>
  <si>
    <t>Information technology</t>
  </si>
  <si>
    <t>ESDM with focus on medical electronics</t>
  </si>
  <si>
    <t>Agnostic</t>
  </si>
  <si>
    <t>Biotechnology, Ayurveda, biomedicine, renewable energy, environment, IT, engineering and electronic sectors</t>
  </si>
  <si>
    <t>Energy pumps</t>
  </si>
  <si>
    <t>ICT &amp; bio-technology</t>
  </si>
  <si>
    <t>Engineering</t>
  </si>
  <si>
    <t>Food processing, textiles and building technology</t>
  </si>
  <si>
    <t>Bioinformatics, image processing and recognition, materials, MEM’s, organic electronics, early detection of diseases, drug design, mobility, and renewable energy</t>
  </si>
  <si>
    <t>Environment, Materials and IT</t>
  </si>
  <si>
    <t>Refrigeration and cold chain</t>
  </si>
  <si>
    <t>Information technology, electronics, and mechanical engineering</t>
  </si>
  <si>
    <t>IT &amp; electronics, communication technology</t>
  </si>
  <si>
    <t>ITES and products</t>
  </si>
  <si>
    <t>Electronics and ICT</t>
  </si>
  <si>
    <t>Biotech, Internet startups, engineering industry.</t>
  </si>
  <si>
    <t>E-waste, bio-waste, plastic waste management, 3D printing, embedded systems/VLSI, MAV/ robotics, automobile, renewable energy and IT/ITES.</t>
  </si>
  <si>
    <t>Pharma and biotech</t>
  </si>
  <si>
    <t>Artificial Intelligence, Machine Learning, Generative AI, Tech-for-good across diverse sectors</t>
  </si>
  <si>
    <t>Design &amp; Make for India, Digital Commerce, Retail Tech, Supply Chain &amp; Logistics, Deep Tech applications</t>
  </si>
  <si>
    <t>Sector-agnostic; strong focus on IoT, AI/ML, Fintech, HealthTech, AgriTech, Clean Energy, Defense Tech</t>
  </si>
  <si>
    <t>Hardware, Product Design, Engineering, Electronics, Biotech, Medical Device, Manufacturing</t>
  </si>
  <si>
    <t>Deep Tech, Hardware, Biotech, Clean Energy, Defense Tech, AI/ML, Space Tech, Advanced Manufacturing</t>
  </si>
  <si>
    <t>Hardware, Electronics, Manufacturing, IoT, Robotics</t>
  </si>
  <si>
    <t>HealthTech, EduTech, FinTech, AgroTech, BioTech, Renewable &amp; Clean Energy, AI/ML, IoT</t>
  </si>
  <si>
    <t>EV/Automotive, Clean Energy, AgriTech, IT/IoT/AI, HealthTech, Social Innovation, Advanced Manufacturing</t>
  </si>
  <si>
    <t>Life sciences, Health, Pharmaceuticals, Biotechnology (diagnostics, medical devices, genomics, cancer biopharma, infectious diseases)</t>
  </si>
  <si>
    <t>Semiconductors, AI/ML, mobility, sustainability, spacetech, healthcare, defence tech, 39 sectors overall</t>
  </si>
  <si>
    <t>Social innovation, healthcare, AI, clean technology, fintech, SaaS, deep-tech (sector-agnostic, DST-supported)</t>
  </si>
  <si>
    <t>Sector-agnostic (MedTech, ecommerce, D2C, etc.)</t>
  </si>
  <si>
    <t>Life Sciences, Industry 4.0, Smart &amp; Clean Mobility, Aerospace &amp; Defence</t>
  </si>
  <si>
    <t>Foodtech, EV, healthtech, SaaS, biotech (sector-agnostic idea-stage accelerator)</t>
  </si>
  <si>
    <t>Textiles &amp; Apparel (functional garments, smart/technical textiles, sustainable fashion)</t>
  </si>
  <si>
    <t>IoT, AI, data analytics, ed-tech, agri-tech, social enterprises (core industry + social impact)</t>
  </si>
  <si>
    <t>Sector-agnostic: Space &amp; Aeronautics, FinTech, AgriTech, Tourism, Media-Tech, FMCG, Health &amp; Wellness, Deeptech</t>
  </si>
  <si>
    <t>Science &amp; Technology, DeepTech: Biotechnology, Life Sciences, MedTech, Manufacturing, IoT (India's only women-led-startup-focused incubator)</t>
  </si>
  <si>
    <t>Textiles for Home &amp; Spaces, Smart Wearables, Fashion &amp; Lifestyle Accessories, Apparel incl. athleisure/activewear</t>
  </si>
  <si>
    <t>Textiles for Home &amp; Spaces (home furnishings, interior textiles design innovation)</t>
  </si>
  <si>
    <t>Sustainability, climate, health, education, community development — aligned with UN Sustainable Development Goals (SDGs)</t>
  </si>
  <si>
    <t>Upto $150K (INR 1 Cr)</t>
  </si>
  <si>
    <t>Loan and/or equity</t>
  </si>
  <si>
    <t>Website not updated</t>
  </si>
  <si>
    <t>As a DBT-funded initiative, C-CAMP aims to support early-stage highly innovative startups/ideas through Seed funding.</t>
  </si>
  <si>
    <t>Government Schemes: UYEGP, PMEGP</t>
  </si>
  <si>
    <t>It provides seed support system</t>
  </si>
  <si>
    <t>Equity ownership in a private limited company upto 20%. From $3K (INR 2 Lakhs) – $37K (INR 25 Lakhs)</t>
  </si>
  <si>
    <t>$30K (INR 20 lakhs)</t>
  </si>
  <si>
    <t>It’s a non-profit government agency</t>
  </si>
  <si>
    <t>Support to raise VC funding upto $75K (INR 50 Lakhs)</t>
  </si>
  <si>
    <t>It provides Seed funding</t>
  </si>
  <si>
    <t>Mentor-centric</t>
  </si>
  <si>
    <t>Connect incubatees to various funding sources including funding schemes floated by the IIMC-IP (in association with investors), funding partners, Government seed/venture fund, collateral free bank loan (if eligible). IIMC-IP aims at organising seed funding to all incubatees and ensuring a successful exit in 18-24 month time frame.</t>
  </si>
  <si>
    <t>It is a government organisation, it does not provide funding assistance</t>
  </si>
  <si>
    <t>It has provided Seed funding to 15 startups till date</t>
  </si>
  <si>
    <t>IITG-TIC may provide soft loan which entirely depends on the availability of funds/grants/schemes meant for the purpose. The soft loan will be sanctioned only to the registered companies. The soft loan is available for upto 80% of the project cost.</t>
  </si>
  <si>
    <t>Registered under SEBI as a Social Venture Fund, they provide as well as accept grants from charitable institutions, societies, micro-finance institutions which, is not accommodated under the traditional PE framework.</t>
  </si>
  <si>
    <t>IIC provides funding assistance in form on a seed loan</t>
  </si>
  <si>
    <t>Once incubated, icreate provides funding of up to $22K (INR 15 lakhs), monthly sustenance, mentorship, networking opportunities, support and assistance (including physical infrastructure) for taking ideas to ‘Proof of Concept’ stage.</t>
  </si>
  <si>
    <t>No equity (government organisation)</t>
  </si>
  <si>
    <t>Funds of $5-10K(INR 4 to 8 Lakhs) from Ministry of Micro, Small &amp; Medium Enterprises (MSME)</t>
  </si>
  <si>
    <t>Equity</t>
  </si>
  <si>
    <t>via DIPP, through venture ready fund scheme</t>
  </si>
  <si>
    <t>Incubatees of startup units can avail Seed capital support through “Seed Support System to Startups at Incubators” a scheme of the Technology Development Board implemented at NITK-STEP. Four incuabtees are given seed capital support of $7K-$14K (INR5-10 Lakhs) per incubated startups, with the first instalment of support already released.</t>
  </si>
  <si>
    <t>5% Equity</t>
  </si>
  <si>
    <t>A Seed Fund Support Scheme has been constituted by PSG-STEP with support from Technology Development Board (TDB) &amp; National Science &amp; Technology Entrepreneurship Development Board (NSTEDB), Department of Science &amp; Technology, Government of India to extend financial support to technology ventures to cater to the early stage requirements of startups.</t>
  </si>
  <si>
    <t>RTBI incubated companies are eligible for the following investments: Seed capital: Interest-free loan up to $7K (INR 5 Lakhs).</t>
  </si>
  <si>
    <t>They have a TDB Seed Fund for startups in Incubators</t>
  </si>
  <si>
    <t>Startups to nominate 3% of his/her company’s share in favour of IIT Kanpur and 1% in favour of the mentor.</t>
  </si>
  <si>
    <t>Upfront funding support of $9K (INR 6 Lakhs) for startups with basic validation/prototyping and that are ready to pilot in Rajasthan/Madhya Pradesh with incubation support from Startup Oasis. Funding of $30K (INR 20 Lakhs) for startups which have a validated business model and are looking to scale its operations in Rajasthan/MP with incubation support from Startup Oasis.</t>
  </si>
  <si>
    <t>Seed Loans to a select few incubated startups.</t>
  </si>
  <si>
    <t>Early stage funding.</t>
  </si>
  <si>
    <t>It’s an government organisation, does not provide funding</t>
  </si>
  <si>
    <t>Seed funding</t>
  </si>
  <si>
    <t>VIT-TBI provides seed funding (through TDB and DST grants), innovation funding through TePP program of DSIR, incubation grants through MSME and technology commercialisation support through TCFA program of TIFAC, and facilitation to raise angel investment through various angel networks.</t>
  </si>
  <si>
    <t>It provides funding of $37K (INR 25 lakhs)</t>
  </si>
  <si>
    <t>It provides funding of $75K (INR 50 lakhs) (milestone-based) and this is invested as equity and/or quasi-equity</t>
  </si>
  <si>
    <t>It provides equipment purchase loans to startups.</t>
  </si>
  <si>
    <t>No funding, just mentoring and assistance</t>
  </si>
  <si>
    <t>Technology assistance</t>
  </si>
  <si>
    <t>Early stage financial support</t>
  </si>
  <si>
    <t>It provides seed funding of $75K (INR 50 Lakh), sanctioned through DST.</t>
  </si>
  <si>
    <t>Funding assistance upto $75K (INR 50 Lakhs).</t>
  </si>
  <si>
    <t>Seed fund support under various government programmes.</t>
  </si>
  <si>
    <t>Assistance in funding</t>
  </si>
  <si>
    <t>Equity-free support, product credits</t>
  </si>
  <si>
    <t>Equity-free grants of $25,000 (INR ~20 Lakhs)</t>
  </si>
  <si>
    <t>Seed funding, mentorship, partnerships (Merck, Microsoft, corporate partners)</t>
  </si>
  <si>
    <t>Equity investment available, shared facilities access, grant programs</t>
  </si>
  <si>
    <t>Seed funding (up to INR 25-30 lakhs), workspace, lab access</t>
  </si>
  <si>
    <t>Shared lab facilities, equipment access, mentorship</t>
  </si>
  <si>
    <t>Government-backed grants (DST, MeitY, BIRAC) with seed funding up to ~INR 15 lakh per startup; Rs 24.7 Cr disbursed in total funding</t>
  </si>
  <si>
    <t>Government-backed (AIM, MeitY TIDE 2.0, MSME, SISFS); grants up to ~INR 7 lakh; total funding raised ~$564K; targeting INR 50+ million to startups over 3 years</t>
  </si>
  <si>
    <t>Atal Innovation Mission (NITI Aayog) grant; seed capital via Startup India Seed Fund Scheme (SISFS) and NIDHI Seed Support System</t>
  </si>
  <si>
    <t>Government/AIM-backed; ₹40.29 Cr in grants, ₹21.48 Cr in investments and ₹69.09 Cr secured investments across cohorts (via parent T-Hub, startups raised $2Bn+)</t>
  </si>
  <si>
    <t>DST-supported; seed funding up to INR 50 lakh (via Startup India Seed Fund Scheme) and up to INR 10 lakh via MeitY GENESIS EiR</t>
  </si>
  <si>
    <t>Atal Innovation Mission grant; Startup India Seed Fund Scheme (DPIIT) and NIDHI-Seed Support Scheme (DST), up to INR 50 lakh</t>
  </si>
  <si>
    <t>Section-8 not-for-profit; funding channels include BIRAC-BioNEST and Startup India Seed Fund; startups raised ₹61.4 Cr total</t>
  </si>
  <si>
    <t>Accelerator programme of MudhalVC (Suresh Sambandam), which plans to invest ~INR 125 Cr in two phases over 3-4 years; 15 startups already funded</t>
  </si>
  <si>
    <t>NITI Aayog Atal Innovation Mission grant of ₹10 Cr over 5 years; Startup India Seed Fund Scheme recognition (₹3 Cr, up to ₹30 lakh debt per startup)</t>
  </si>
  <si>
    <t>Atal Innovation Mission (NITI Aayog) backed; seed funds up to ₹25 lakh from government grants; ₹7 Cr+ funding facilitated</t>
  </si>
  <si>
    <t>Atal Innovation Mission backed; seed funding up to ₹25 lakh/startup; also Digi-SAPNE 2.0 grant up to ₹80 lakh; HDFC CSR Parivartan Grant</t>
  </si>
  <si>
    <t>Backed by Ministry of MSME, DST, DPIIT, and MeitY (incl. TIDE 2.0 grants of ₹4-7 lakh); seed funding up to ₹50 lakh via grants/equity</t>
  </si>
  <si>
    <t>Section 8 company set up by NIFT, Ministry of Textiles, Govt. of India; provides pre-incubation, incubation and accelerator services</t>
  </si>
  <si>
    <t>Operates under NFDI (NIFT Foundation for Design Innovation), a Section 8 company set up by NIFT, Ministry of Textiles, Govt. of India; pre-incubation, incubation &amp; accelerator services</t>
  </si>
  <si>
    <t>Atal Innovation Mission (NITI Aayog) backed; grant programs incl. Sustainovation Challenge up to ₹5 lakh and EDII-TN Innovation Voucher ₹3-7 lakh</t>
  </si>
  <si>
    <t>100+</t>
  </si>
  <si>
    <t>The startup incubator has incubated 45 startups and mentored 181 startup ideas</t>
  </si>
  <si>
    <t>24</t>
  </si>
  <si>
    <t>160 Micro, Small, Women entrepreneurs</t>
  </si>
  <si>
    <t>500 ventures trained, incubated or accelerated</t>
  </si>
  <si>
    <t>6</t>
  </si>
  <si>
    <t>60</t>
  </si>
  <si>
    <t>558 companies incubated at IITM-IC. 44 companies incubated at the sister incubator – IITM’s Rural Technology Business Incubator (</t>
  </si>
  <si>
    <t>15+</t>
  </si>
  <si>
    <t>17</t>
  </si>
  <si>
    <t>220</t>
  </si>
  <si>
    <t>10+</t>
  </si>
  <si>
    <t>30+</t>
  </si>
  <si>
    <t>57</t>
  </si>
  <si>
    <t>36</t>
  </si>
  <si>
    <t>21</t>
  </si>
  <si>
    <t>42</t>
  </si>
  <si>
    <t>45</t>
  </si>
  <si>
    <t>50+</t>
  </si>
  <si>
    <t>7</t>
  </si>
  <si>
    <t>15</t>
  </si>
  <si>
    <t>100</t>
  </si>
  <si>
    <t>20 social entrepreneurs</t>
  </si>
  <si>
    <t>11</t>
  </si>
  <si>
    <t>10</t>
  </si>
  <si>
    <t>8</t>
  </si>
  <si>
    <t>100 (total capacity of the centre)</t>
  </si>
  <si>
    <t>230+</t>
  </si>
  <si>
    <t>100+ (estimated through cohorts)</t>
  </si>
  <si>
    <t>457+</t>
  </si>
  <si>
    <t>200+</t>
  </si>
  <si>
    <t>245+</t>
  </si>
  <si>
    <t>82+</t>
  </si>
  <si>
    <t>600+</t>
  </si>
  <si>
    <t>60-65+ (65 portfolio companies per PitchBook)</t>
  </si>
  <si>
    <t>Data not specified (life-sciences/biotech-focused portfolio)</t>
  </si>
  <si>
    <t>200+ at AIC T-Hub specifically (T-Hub overall: 4,100+ startups)</t>
  </si>
  <si>
    <t>Not specified (cohort-based Launch n Zoom &amp; pitch-day programs)</t>
  </si>
  <si>
    <t>74+</t>
  </si>
  <si>
    <t>120-121</t>
  </si>
  <si>
    <t>75+ mentored (over 1,000 founders engaged in 24 months)</t>
  </si>
  <si>
    <t>70+</t>
  </si>
  <si>
    <t>100+ (45+ resident, 60+ overall supported in earlier reporting)</t>
  </si>
  <si>
    <t>166-181 (women-founded ventures)</t>
  </si>
  <si>
    <t>Not specified (newly operational regional incubator network)</t>
  </si>
  <si>
    <t>Not specified (one of NFDI's 4 regional incubators)</t>
  </si>
  <si>
    <t>65-77 (targeting 150+)</t>
  </si>
  <si>
    <t>Amity website+AIM+S-GE</t>
  </si>
  <si>
    <t>AmritaTBI Official+CB Insights</t>
  </si>
  <si>
    <t>BAIT off+Startup India, EDII TM portal</t>
  </si>
  <si>
    <t>BEA Fac disclosures+History disc</t>
  </si>
  <si>
    <t>govt website, startup.gujarat.gov.in</t>
  </si>
  <si>
    <t>CED-ALEAP Facility Disclosures, ALEAP India Institutional History (cedho.org / aleap.org).</t>
  </si>
  <si>
    <t>CET-TBI Camus Disclosures, DST-NSTEDB&lt; KSUM TBI Funding Allocs, YNOS Venture Engine</t>
  </si>
  <si>
    <t>ciba.org.in, YNOS Venture Engine &amp; CIBA Disclosures, CIBA Partner Network &amp; MoUs (Includes partnerships with AWS, SolidWorks, Autodesk, HDFC Bank, MSME, DST, and Indian Business Group [IBG]).</t>
  </si>
  <si>
    <t>IIMA Ventures / CIIE.CO Facility Disclosures, iima.ac.in, iimaventures.com</t>
  </si>
  <si>
    <t>YNOS Venture Engine &amp; Forge Innovation &amp; Ventures Portfolio Disclosures, SISFS Allocs, Forge Innovation &amp; Ventures Portfolio Impact Metics</t>
  </si>
  <si>
    <t>Campus Disclosures, DSR-NSTEDB, ITFAC and KSCST Funding Schemes</t>
  </si>
  <si>
    <t>YNOS Ventrure Engine, Maker Village Disc, KSUM Portfolio reports, MeitY</t>
  </si>
  <si>
    <t xml:space="preserve">DA-IICT CEID Campus Disclosures, Meity TIDE Allocs, SSIP, DCEI Portfolio Impact and Startup Gujarat Ecosystem Directory </t>
  </si>
  <si>
    <t>ISB DLabs Official Investment Disclosures &amp; PitchBook Database.</t>
  </si>
  <si>
    <t>FITT IIT Delhi Official + StartupGrants India</t>
  </si>
  <si>
    <t>IAN Incubator Facility Disc, iangroup.vc, IAN Group Financial Disc</t>
  </si>
  <si>
    <t>Startup India, IIMCIP Regional Disc, iimcal.ac.in, iimcip.org</t>
  </si>
  <si>
    <t>iith.ac.in, IITH Institutional Impact filings, itic.iith.ac.in</t>
  </si>
  <si>
    <t>iitm.ac.in, IITM Incubation Cell Annual Disclosures, IITM Seed Fund and NIDHI_SSS Scheme</t>
  </si>
  <si>
    <t>cie.iiit.ac.in, iiit.ac.in,CIE IIITH Portfolio Disc</t>
  </si>
  <si>
    <t>iieciitgn.com, IIEC Incubator Dashboard</t>
  </si>
  <si>
    <t>iitgtic.com, Startup India Directory, IITG-TIC Ecosystem report, IITG-TIC Funding Disc</t>
  </si>
  <si>
    <t>Aashray-Incube Corporate and Facility Disc, MCA CIN, DST-NSTEDB Grant Allocs</t>
  </si>
  <si>
    <t>pitchbook.com, DST NIDHI_SSP/ NIDHI PRAYAS Allocs, pdeuiic.in</t>
  </si>
  <si>
    <t>icreate.org, MCA, Gujarat Foundation for Entrepreneurial Excellence, DST-NIDHI, MeitY TIDE 2.0 Allocs</t>
  </si>
  <si>
    <t>startupmission.kerala.gov.in, KSUM Financial and Fund of Funds Allocs filings</t>
  </si>
  <si>
    <t>pitchbook.com, ikpknowledgepark.com, BIRAC-BioNEST and DST-NSTEDB Annual Reports, IncorpX and Devex Ecosystem profiles</t>
  </si>
  <si>
    <t>i3f-iitbhu.org, iitbhu.ac.in, ecelliitbhu.in, MCIIE establishment (2008)</t>
  </si>
  <si>
    <t>MAHE Innovation &amp; MUTBI 15-Year Ecosystem Performance Report (manipal.edu)</t>
  </si>
  <si>
    <t>mica.ac.in, DST-NSTEDB, pitchbook.com, etc.</t>
  </si>
  <si>
    <t>NASSCOM Official Portals (nasscom.in / 10000startups.com, pitchbook, Startup Haryana, State gc startup policy recs</t>
  </si>
  <si>
    <t>NDBI Official Portal (ndbiindia.org) &amp; NID Main Site (nid.edu), ISTI Portal, DST-NSTEDB</t>
  </si>
  <si>
    <t>NITK-STEP Official Portal (step.nitk.ac.in), Department of Science &amp; Technology (DST-NSTEDB) &amp; MSME Disclosures</t>
  </si>
  <si>
    <t>trecstep.com, ebn.eu, startupgrantsindia.com, DST_NSTEDB</t>
  </si>
  <si>
    <t>nsrcel.org, iimb.ac.in, pitchbook.com</t>
  </si>
  <si>
    <t>periyartbi.pmu.edu, DST-NSTEDB</t>
  </si>
  <si>
    <t>psgstep.org, psgtech.edu, Department of Science &amp; Technology (DST-NSTEDB) Directory: Official government records verifying STEP status, "Best STEP" national award recognition</t>
  </si>
  <si>
    <t>SP-TBI Official Portal (sptbi.com) &amp; SPIT Site (spit.ac.in), Official records confirming NIDHI-TBI status, $1.4M (₹10+ Cr) NIDHI-SSS capital</t>
  </si>
  <si>
    <t>Sathyabama TBI Official Portals (tbi.sathyabama.ac.in, sathyabama.ac.in), NIDHI seed grant allocations, Startup India Seed Fund Scheme (SISFS) &amp; EDII-TN Disclosures</t>
  </si>
  <si>
    <t>RTBI Official Disclosures &amp; Annual Filings (rtbi.in), pitchbook.com, respark.iitm.ac.in</t>
  </si>
  <si>
    <t>scitechpark.org.in, unipune.ac.in</t>
  </si>
  <si>
    <t>SIIC IIT Kanpur Official Portal (siicincubator.com), BIRAC SEED &amp; DST-NSTEDB Annual Filings</t>
  </si>
  <si>
    <t xml:space="preserve">SMVDU TBIC Official Portal (tbic.smvdu.ac.in), </t>
  </si>
  <si>
    <t>ndritbi.com &amp; ndri.res.in, DST-NSTEDB</t>
  </si>
  <si>
    <t>startupoasis.in, PIICO Disclosures, pitchbook.com</t>
  </si>
  <si>
    <t>bitmesra.ac.in, DST-NSTEDB, JoSAA and IIRF institutional report</t>
  </si>
  <si>
    <t>venturelab.org.in &amp; thapar.edu, DST-NSTEDB, MeitY TIDE 2.0, Startup Panjab DPIIT Seed Fund Portal</t>
  </si>
  <si>
    <t>TCGTBI IIEST Shibpur Official Portal (tcgtbi.iiests.ac.in), EST Shibpur Academic &amp; Research Disclosures (iiests.ac.in),Ministry of MSME &amp; DST Incubator Directories: Official records tracking non-equity seed grants, green business promotional schemes, and incubator support.</t>
  </si>
  <si>
    <t>BITS Pilani &amp; PIEDS Portals (bits-pilani.ac.in, pieds-bitspilani.org, Department of Science &amp; Technology (DST-NSTEDB) &amp; MeitY TIDE 2.0 Filings: Official government records tracking NIDHI-SSS seed equity, NIDHI-PRAYAS, and SAMRIDH disbursals.</t>
  </si>
  <si>
    <t>Centre for Biotechnology &amp; UIC Anna University Disclosures (annauniv.edu, uicbannauniv.com), DST-NSTEDB</t>
  </si>
  <si>
    <t>Graphic Era Official Website</t>
  </si>
  <si>
    <t>fitt-iitd.in, IITD RIPI Disclosures</t>
  </si>
  <si>
    <t>stepiitkgp.org, iitkgp.ac.in, ABIF, IITkgd Research park disc</t>
  </si>
  <si>
    <t>kiitincubator.in, BIRAC BioNEST, BRTC Program Disclosures, DST-NSTEDB</t>
  </si>
  <si>
    <t>nitc.ac.in, CEIE Disc, KSUM IEEE Disc</t>
  </si>
  <si>
    <t>timed.org.in, DST-NSTEDB, SCTIMST Annual reports</t>
  </si>
  <si>
    <t>unom.ac.in, DST-NSTEDB Directory</t>
  </si>
  <si>
    <t>UnLtd H and Surge Impact Foundation Disc</t>
  </si>
  <si>
    <t>vittbi.com, VITTBI investor disclosures, DST-NSTEDB</t>
  </si>
  <si>
    <t>venturecenter.co.in, seedfund.venturecenter.co.in, BIRAC BioNEST and CSIR-NCL Disc</t>
  </si>
  <si>
    <t>PitchBook + CB Insights + Villgro Official</t>
  </si>
  <si>
    <t>isb.edu, isbeacon.com, DST-NSTEDB, pitchbook.com</t>
  </si>
  <si>
    <t xml:space="preserve">india.zonestartups.com, DST_NSTEDB, </t>
  </si>
  <si>
    <t>aidea.naarm.org.in, DST-NSTEDB, BIREAC Disclosures, pitchbook.com</t>
  </si>
  <si>
    <t>adhiyamaan.ac.in, detiaceprayas.org.in, Department of Science &amp; Technology (DST-NSTEDB) &amp; SINE IIT Bombay Disclosure, DST Compendium ("75 Impactful Startups") &amp; MSME Directories: Verification of supported hardware/engineering ventures</t>
  </si>
  <si>
    <t>DKTE Official Portal (dkte.ac.in) &amp; TBI / TIFAC-CORE Disclosures, Department of Science &amp; Technology (DST-NSTEDB) &amp; TIFAC-CORE Records</t>
  </si>
  <si>
    <t>ektatbi.makautwb.net, makautwb.ac.in</t>
  </si>
  <si>
    <t>biotechpark.co.in, Tamil Nadu Industrial Development Corporation (TIDCO) Filings</t>
  </si>
  <si>
    <t>btm.gujarat.gov.in, stbi.gujarat.gov.in</t>
  </si>
  <si>
    <t>IIT Madras Official + DST</t>
  </si>
  <si>
    <t>HCET Official + DST</t>
  </si>
  <si>
    <t>HIT Official</t>
  </si>
  <si>
    <t>IIIT-Allahabad + DST</t>
  </si>
  <si>
    <t>IIT Patna Official</t>
  </si>
  <si>
    <t>KSIDC Official</t>
  </si>
  <si>
    <t>MITCON Official</t>
  </si>
  <si>
    <t>MITCON Official + Startup India</t>
  </si>
  <si>
    <t>NSIC Official</t>
  </si>
  <si>
    <t>NIET Official</t>
  </si>
  <si>
    <t>NSIC TSC</t>
  </si>
  <si>
    <t>ROLTA Official</t>
  </si>
  <si>
    <t>STEP Karnataka + DST</t>
  </si>
  <si>
    <t>Shankaracharya Official</t>
  </si>
  <si>
    <t>SID Official</t>
  </si>
  <si>
    <t>STEP Roorkee Official + DST</t>
  </si>
  <si>
    <t>St Peters Official</t>
  </si>
  <si>
    <t>Krishnapath + DST</t>
  </si>
  <si>
    <t>TIDE Official</t>
  </si>
  <si>
    <t>TIIC Official</t>
  </si>
  <si>
    <t>TBI TN Official</t>
  </si>
  <si>
    <t>TIDES Official</t>
  </si>
  <si>
    <t>Trident Official</t>
  </si>
  <si>
    <t>Vel Tech Official</t>
  </si>
  <si>
    <t>PERD Official</t>
  </si>
  <si>
    <t>CB Insights + Google Official + TechCrunch</t>
  </si>
  <si>
    <t>CB Insights + Your Story + Inc42</t>
  </si>
  <si>
    <t>T-Hub Official + Entrackr + StartupGrants India</t>
  </si>
  <si>
    <t>PitchBook + IKP Official</t>
  </si>
  <si>
    <t>SINE IIT Bombay Official + Entrepreneur India (Nov 2024) + CB Insights</t>
  </si>
  <si>
    <t>PitchBook + Maker Village Official + MeitY</t>
  </si>
  <si>
    <t>IIT Mandi Official</t>
  </si>
  <si>
    <t>AIC Pinnacle Official</t>
  </si>
  <si>
    <t>CCMB Official + DST</t>
  </si>
  <si>
    <t>AIC T-Hub Official + T-Hub</t>
  </si>
  <si>
    <t>IIM Udaipur Official</t>
  </si>
  <si>
    <t>AIC RNTU Official</t>
  </si>
  <si>
    <t>Crescent Innovation Official</t>
  </si>
  <si>
    <t>MudhalVC + DPIIT</t>
  </si>
  <si>
    <t>NIFT Official</t>
  </si>
  <si>
    <t>AIC Nalanda Official</t>
  </si>
  <si>
    <t>AIC SMUTBI Official</t>
  </si>
  <si>
    <t>Banasthali Official</t>
  </si>
  <si>
    <t>NFDI Official</t>
  </si>
  <si>
    <t>AIC RAISE + DPIIT</t>
  </si>
  <si>
    <t>5000*10 for it consists of only scientists</t>
  </si>
  <si>
    <t>500*10 for it consists of senior scientists and experts</t>
  </si>
  <si>
    <t>3000*10 for high exp</t>
  </si>
  <si>
    <t>Source includes CB Insights, which similarly uses a broad 'exit' definition — recheck against actual IPO/M&amp;A records.</t>
  </si>
  <si>
    <t>Duplicate of 'CED' (Council for Entrepreneurial Development) — same entity, same value (0), merged.</t>
  </si>
  <si>
    <t>VERIFIED via public reporting (Business Line/VCCircle) + IIMA Ventures own materials: confirmed exits include 2 IPOs (incl. BharatRohan, Sep 2025) and at least 4 acquisitions/stake-sales (Guvi/HCL, Barrix/Sumitomo, Transerve/Precisely, Riskcovry) = roughly 6+ confirmed strict exits, not 35. PitchBook shows 97 loose exits (broad definition). RECOMMEND CORRECTING TO ~6 (pending full portfolio audit) rather than 35.</t>
  </si>
  <si>
    <t>Duplicate of 'DLabs' (DLabs IS the Indian School of Business's incubator — same entity) — CONFLICTING values (3 vs 0). Source includes PitchBook (broad exit definition) — needs manual recheck against actual outcomes. Source includes PitchBook, which counts any portfolio liquidity/status change (incl. secondary sales, write-offs, shutdowns) as an 'exit' — NOT the strict IPO/M&amp;A/LBO definition. Verified case studies (Villgro, NASSCOM 10,000 Startups, CIIE IIM-A) show PitchBook's loose exit count is roughly 15-20x the true IPO/M&amp;A count. This figure is very likely overstated.</t>
  </si>
  <si>
    <t>POSSIBLE duplicate of 'Technology Business Incubator, IIT-D' (row below) and/or 'STEP - IIT Delhi' — FITT is IIT Delhi's official TBI and both cite fitt-iitd.in as a source. Kept separate pending manual confirmation; do not treat as 3 independent incubators.</t>
  </si>
  <si>
    <t>Duplicate of 'IIT Madras Incubation Cell' — same entity listed twice with CONFLICTING values (10 vs 3). Kept row with value 10 but flagging: neither figure could be independently confirmed against actual IPO/M&amp;A records.</t>
  </si>
  <si>
    <t>Source includes PitchBook, which counts any portfolio liquidity/status change (incl. secondary sales, write-offs, shutdowns) as an 'exit' — NOT the strict IPO/M&amp;A/LBO definition. Verified case studies (Villgro, NASSCOM 10,000 Startups, CIIE IIM-A) show PitchBook's loose exit count is roughly 15-20x the true IPO/M&amp;A count. This figure is very likely overstated.</t>
  </si>
  <si>
    <t>Duplicate of 'Kerala Startup Mission KSUM' — same entity listed twice with CONFLICTING values (5 vs 1). Kept row with value 5; source for the higher figure (Amity website+AIM+S-GE) not independently confirmed as strict IPO/M&amp;A — recommend manual recheck.</t>
  </si>
  <si>
    <t>Source includes PitchBook, which counts any portfolio liquidity/status change (incl. secondary sales, write-offs, shutdowns) as an 'exit' — NOT the strict IPO/M&amp;A/LBO definition. Verified case studies (Villgro, NASSCOM 10,000 Startups, CIIE IIM-A) show PitchBook's loose exit count is roughly 15-20x the true IPO/M&amp;A count. This figure is very likely overstated. PitchBook shows 46 loose 'exits' (matches dataset's 45 almost exactly), but another investor database lists 'Number of Exits: 1' and a 2015 Inc42 article cites '6 of 64 startups' exited via acquisition (different snapshot year). The 45 figure is almost certainly the PitchBook broad-definition count, not strict IPO/M&amp;A. RECOMMEND FLAGGING AS UNVERIFIED/LIKELY OVERSTATED; true figure is probably in the single digits.</t>
  </si>
  <si>
    <t>Duplicate of 'NSRCEL, IIM Bangalore' — same entity listed twice with CONFLICTING values (15 vs 1). Source for '15' is pitchbook.com, which counts ANY portfolio liquidity/status change as an 'exit,' not just IPO/M&amp;A/LBO — likely inflated. The '1' figure is closer to the strict definition. Source includes PitchBook, which counts any portfolio liquidity/status change (incl. secondary sales, write-offs, shutdowns) as an 'exit' — NOT the strict IPO/M&amp;A/LBO definition. Verified case studies (Villgro, NASSCOM 10,000 Startups, CIIE IIM-A) show PitchBook's loose exit count is roughly 15-20x the true IPO/M&amp;A count. This figure is very likely overstated.</t>
  </si>
  <si>
    <t>Duplicate of 'SIDBI Innovation &amp; Incubation Centre, IIT Kanpur' — 'SIIC' IS the same entity (SIIC = SIDBI Innovation &amp; Incubation Centre) — CONFLICTING values (5 vs 3).</t>
  </si>
  <si>
    <t>POSSIBLE duplicate of 'Foundation For Innovation And Technology Transfer, IIT-D' — see note there. Also cites fitt-iitd.in.</t>
  </si>
  <si>
    <t>Source includes PitchBook, which counts any portfolio liquidity/status change (incl. secondary sales, write-offs, shutdowns) as an 'exit' — NOT the strict IPO/M&amp;A/LBO definition. Verified case studies (Villgro, NASSCOM 10,000 Startups, CIIE IIM-A) show PitchBook's loose exit count is roughly 15-20x the true IPO/M&amp;A count. This figure is very likely overstated. Source includes CB Insights, which similarly uses a broad 'exit' definition — recheck against actual IPO/M&amp;A records. VERIFIED via Tracxn (Villgro's own portfolio tracker): Villgro's portfolio has seen 1 IPO and 2 acquisitions = 3 total exits under strict IPO/M&amp;A/LBO definition, NOT 65. The 65 figure matches PitchBook's broad 'exits' count (64-65) which is not the strict definition. RECOMMEND CORRECTING TO 3.</t>
  </si>
  <si>
    <t>MITCON Biopharma vs MITCON Biotechnology Business Incubation Centre (next row) — likely two divisions of the same parent (MITCON) with distinct DST-TBI registrations; kept separate but flagged for confirmation.</t>
  </si>
  <si>
    <t>See note on 'MITCON Biopharma' above.</t>
  </si>
  <si>
    <t>'Technology Business Incubator' — name too generic to identify a specific institution; could not verify. May be a scraping/data error or duplicate of one of the many other 'Technology Business Incubator, X' rows. Recommend manual identification or removal.</t>
  </si>
  <si>
    <t>Duplicate of 'Vel Tech Technology Incubator' — same parent institution (Vel Tech) — CONFLICTING values (2 vs 1).</t>
  </si>
  <si>
    <t>T-Hub vs 'AIC T-Hub' (separate row) — AIC T-Hub is a distinct Atal Incubation Centre legal entity co-located with/supported by T-Hub, not necessarily the same portfolio. Kept separate but flagged.</t>
  </si>
  <si>
    <t>See note on 'T-Hub' above.</t>
  </si>
  <si>
    <t>Number of Exits (Normalized)</t>
  </si>
  <si>
    <t>Direct Capital Deployed (Rs) (Normalized)</t>
  </si>
  <si>
    <t>Portfolio Quality (% startups that raised funding) (Normalized)</t>
  </si>
  <si>
    <t>Current Active Capacity (Normalized)</t>
  </si>
  <si>
    <t>Age &amp; Operational Maturity (Normalized)</t>
  </si>
  <si>
    <t>Corporate Partnerships (Normalized)</t>
  </si>
  <si>
    <t>Investor Network (Normalized)</t>
  </si>
  <si>
    <t>Talent Pool &amp; Recruitment (Normalized)</t>
  </si>
  <si>
    <t>Sectoral Expertise (Normalized)</t>
  </si>
  <si>
    <t>Geographic &amp; Demographic Diversity (Normalized)</t>
  </si>
  <si>
    <t>FINAL SCORES</t>
  </si>
  <si>
    <t>Final Score</t>
  </si>
  <si>
    <t>Insufficient Dataset</t>
  </si>
  <si>
    <t>TBI BITS Pilani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</si>
</sst>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4"/>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17"/>
  <sheetViews>
    <sheetView zoomScale="70" zoomScaleNormal="70" workbookViewId="0">
      <selection activeCell="A55" sqref="A55:XFD55"/>
    </sheetView>
  </sheetViews>
  <sheetFormatPr defaultRowHeight="14.6" outlineLevelRow="1" outlineLevelCol="1" x14ac:dyDescent="0.4"/>
  <cols>
    <col min="1" max="1" width="78.765625" bestFit="1" customWidth="1"/>
    <col min="2" max="2" width="81.4609375" bestFit="1" customWidth="1"/>
    <col min="3" max="3" width="17.921875" hidden="1" customWidth="1" outlineLevel="1"/>
    <col min="4" max="5" width="255.69140625" hidden="1" customWidth="1" outlineLevel="1"/>
    <col min="6" max="6" width="110.3046875" hidden="1" customWidth="1" outlineLevel="1"/>
    <col min="7" max="7" width="14.07421875" bestFit="1" customWidth="1" collapsed="1"/>
    <col min="8" max="8" width="23.921875" bestFit="1" customWidth="1"/>
    <col min="9" max="9" width="28.921875" customWidth="1"/>
    <col min="10" max="10" width="20.23046875" bestFit="1" customWidth="1"/>
    <col min="11" max="11" width="23.765625" bestFit="1" customWidth="1"/>
    <col min="12" max="12" width="20" bestFit="1" customWidth="1"/>
    <col min="13" max="13" width="15.3046875" bestFit="1" customWidth="1"/>
    <col min="14" max="14" width="18.3828125" customWidth="1"/>
    <col min="15" max="15" width="9.84375" customWidth="1"/>
    <col min="16" max="16" width="31.3828125" bestFit="1" customWidth="1"/>
  </cols>
  <sheetData>
    <row r="1" spans="1:21" s="1" customFormat="1" outlineLevel="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t="s">
        <v>16</v>
      </c>
      <c r="S1" s="1" t="s">
        <v>17</v>
      </c>
      <c r="T1" s="1" t="s">
        <v>18</v>
      </c>
      <c r="U1" s="1" t="s">
        <v>19</v>
      </c>
    </row>
    <row r="2" spans="1:21" x14ac:dyDescent="0.4">
      <c r="A2" t="s">
        <v>20</v>
      </c>
      <c r="B2" t="s">
        <v>136</v>
      </c>
      <c r="C2">
        <v>2008</v>
      </c>
      <c r="D2" t="s">
        <v>205</v>
      </c>
      <c r="E2" t="s">
        <v>310</v>
      </c>
      <c r="F2" t="s">
        <v>376</v>
      </c>
      <c r="G2">
        <v>0</v>
      </c>
      <c r="H2">
        <v>250000000</v>
      </c>
      <c r="I2">
        <v>13.5</v>
      </c>
      <c r="J2">
        <v>80</v>
      </c>
      <c r="K2">
        <v>18</v>
      </c>
      <c r="L2">
        <v>15</v>
      </c>
      <c r="M2">
        <v>50</v>
      </c>
      <c r="N2">
        <v>175000</v>
      </c>
      <c r="O2">
        <v>5</v>
      </c>
      <c r="P2">
        <v>18</v>
      </c>
      <c r="R2" t="s">
        <v>423</v>
      </c>
    </row>
    <row r="3" spans="1:21" x14ac:dyDescent="0.4">
      <c r="A3" t="s">
        <v>21</v>
      </c>
      <c r="B3" t="s">
        <v>137</v>
      </c>
      <c r="C3">
        <v>2008</v>
      </c>
      <c r="D3" t="s">
        <v>206</v>
      </c>
      <c r="E3" t="s">
        <v>311</v>
      </c>
      <c r="F3" t="s">
        <v>377</v>
      </c>
      <c r="G3">
        <v>1</v>
      </c>
      <c r="H3">
        <v>150000000</v>
      </c>
      <c r="I3">
        <v>32</v>
      </c>
      <c r="J3">
        <v>50</v>
      </c>
      <c r="K3">
        <v>18</v>
      </c>
      <c r="L3">
        <v>10</v>
      </c>
      <c r="M3">
        <v>25</v>
      </c>
      <c r="N3">
        <v>26500</v>
      </c>
      <c r="O3">
        <v>6</v>
      </c>
      <c r="P3">
        <v>3</v>
      </c>
      <c r="R3" t="s">
        <v>424</v>
      </c>
      <c r="U3" t="s">
        <v>540</v>
      </c>
    </row>
    <row r="4" spans="1:21" x14ac:dyDescent="0.4">
      <c r="A4" t="s">
        <v>22</v>
      </c>
      <c r="B4" t="s">
        <v>138</v>
      </c>
      <c r="C4">
        <v>2007</v>
      </c>
      <c r="D4" t="s">
        <v>207</v>
      </c>
      <c r="E4" t="s">
        <v>312</v>
      </c>
      <c r="F4" t="s">
        <v>378</v>
      </c>
      <c r="G4">
        <v>0</v>
      </c>
      <c r="H4">
        <v>36000000</v>
      </c>
      <c r="I4">
        <v>17.5</v>
      </c>
      <c r="J4">
        <v>40</v>
      </c>
      <c r="K4">
        <v>19</v>
      </c>
      <c r="L4">
        <v>3</v>
      </c>
      <c r="M4">
        <v>5</v>
      </c>
      <c r="N4">
        <v>15000</v>
      </c>
      <c r="O4">
        <v>4</v>
      </c>
      <c r="P4">
        <v>1</v>
      </c>
      <c r="R4" t="s">
        <v>425</v>
      </c>
    </row>
    <row r="5" spans="1:21" x14ac:dyDescent="0.4">
      <c r="A5" t="s">
        <v>23</v>
      </c>
      <c r="B5" t="s">
        <v>139</v>
      </c>
      <c r="C5">
        <v>2011</v>
      </c>
      <c r="D5" t="s">
        <v>208</v>
      </c>
      <c r="G5">
        <v>0</v>
      </c>
      <c r="H5">
        <v>35000000</v>
      </c>
      <c r="I5">
        <v>10</v>
      </c>
      <c r="J5">
        <v>45</v>
      </c>
      <c r="K5">
        <v>15</v>
      </c>
      <c r="L5">
        <v>8</v>
      </c>
      <c r="M5">
        <v>10</v>
      </c>
      <c r="N5">
        <v>19000</v>
      </c>
      <c r="O5">
        <v>5</v>
      </c>
      <c r="P5">
        <v>1</v>
      </c>
      <c r="R5" t="s">
        <v>426</v>
      </c>
    </row>
    <row r="6" spans="1:21" x14ac:dyDescent="0.4">
      <c r="A6" t="s">
        <v>24</v>
      </c>
      <c r="B6" t="s">
        <v>140</v>
      </c>
      <c r="C6">
        <v>2012</v>
      </c>
      <c r="D6" t="s">
        <v>209</v>
      </c>
      <c r="E6" t="s">
        <v>313</v>
      </c>
      <c r="G6">
        <v>5</v>
      </c>
      <c r="H6">
        <v>800000000</v>
      </c>
      <c r="I6">
        <v>65</v>
      </c>
      <c r="J6">
        <v>80</v>
      </c>
      <c r="K6">
        <v>17</v>
      </c>
      <c r="L6">
        <v>20</v>
      </c>
      <c r="M6">
        <v>40</v>
      </c>
      <c r="N6">
        <v>50000</v>
      </c>
      <c r="O6">
        <v>5</v>
      </c>
      <c r="P6">
        <v>1</v>
      </c>
      <c r="T6" t="s">
        <v>537</v>
      </c>
    </row>
    <row r="7" spans="1:21" x14ac:dyDescent="0.4">
      <c r="A7" t="s">
        <v>25</v>
      </c>
      <c r="B7" t="s">
        <v>141</v>
      </c>
      <c r="C7">
        <v>1979</v>
      </c>
      <c r="D7" t="s">
        <v>210</v>
      </c>
      <c r="E7" t="s">
        <v>314</v>
      </c>
      <c r="G7">
        <v>0</v>
      </c>
      <c r="H7">
        <v>150000000</v>
      </c>
      <c r="I7">
        <v>7.5</v>
      </c>
      <c r="J7">
        <v>60</v>
      </c>
      <c r="K7">
        <v>47</v>
      </c>
      <c r="L7">
        <v>10</v>
      </c>
      <c r="M7">
        <v>5</v>
      </c>
      <c r="N7">
        <v>50000</v>
      </c>
      <c r="O7">
        <v>4</v>
      </c>
      <c r="P7">
        <v>1</v>
      </c>
      <c r="R7" t="s">
        <v>427</v>
      </c>
      <c r="U7" t="s">
        <v>541</v>
      </c>
    </row>
    <row r="8" spans="1:21" x14ac:dyDescent="0.4">
      <c r="A8" t="s">
        <v>26</v>
      </c>
      <c r="B8" t="s">
        <v>142</v>
      </c>
      <c r="C8">
        <v>2003</v>
      </c>
      <c r="D8" t="s">
        <v>211</v>
      </c>
      <c r="F8" t="s">
        <v>379</v>
      </c>
      <c r="G8">
        <v>0</v>
      </c>
      <c r="H8">
        <v>25000000</v>
      </c>
      <c r="I8">
        <v>7.5</v>
      </c>
      <c r="J8">
        <v>35</v>
      </c>
      <c r="K8">
        <v>29</v>
      </c>
      <c r="L8">
        <v>5</v>
      </c>
      <c r="M8">
        <v>5</v>
      </c>
      <c r="N8">
        <v>8500</v>
      </c>
      <c r="O8">
        <v>4</v>
      </c>
      <c r="P8">
        <v>2</v>
      </c>
      <c r="R8" t="s">
        <v>428</v>
      </c>
    </row>
    <row r="9" spans="1:21" x14ac:dyDescent="0.4">
      <c r="A9" t="s">
        <v>27</v>
      </c>
      <c r="B9" t="s">
        <v>143</v>
      </c>
      <c r="C9">
        <v>2012</v>
      </c>
      <c r="D9" t="s">
        <v>212</v>
      </c>
      <c r="E9" t="s">
        <v>315</v>
      </c>
      <c r="G9">
        <v>0</v>
      </c>
      <c r="H9">
        <v>45000000</v>
      </c>
      <c r="I9">
        <v>17.5</v>
      </c>
      <c r="J9">
        <v>25</v>
      </c>
      <c r="K9">
        <v>21</v>
      </c>
      <c r="L9">
        <v>5</v>
      </c>
      <c r="M9">
        <v>6</v>
      </c>
      <c r="N9">
        <v>5000</v>
      </c>
      <c r="O9">
        <v>4</v>
      </c>
      <c r="P9">
        <v>1</v>
      </c>
      <c r="R9" t="s">
        <v>429</v>
      </c>
    </row>
    <row r="10" spans="1:21" x14ac:dyDescent="0.4">
      <c r="A10" t="s">
        <v>28</v>
      </c>
      <c r="B10" t="s">
        <v>144</v>
      </c>
      <c r="C10">
        <v>2000</v>
      </c>
      <c r="E10" t="s">
        <v>316</v>
      </c>
      <c r="G10">
        <v>0</v>
      </c>
      <c r="H10">
        <v>80000000</v>
      </c>
      <c r="I10">
        <v>27.5</v>
      </c>
      <c r="J10">
        <v>50</v>
      </c>
      <c r="K10">
        <v>14</v>
      </c>
      <c r="L10">
        <v>8</v>
      </c>
      <c r="M10">
        <v>15</v>
      </c>
      <c r="N10">
        <v>10000</v>
      </c>
      <c r="O10">
        <v>4</v>
      </c>
      <c r="P10">
        <v>3</v>
      </c>
      <c r="R10" t="s">
        <v>430</v>
      </c>
    </row>
    <row r="11" spans="1:21" x14ac:dyDescent="0.4">
      <c r="A11" t="s">
        <v>29</v>
      </c>
      <c r="B11" t="s">
        <v>145</v>
      </c>
      <c r="C11">
        <v>2007</v>
      </c>
      <c r="D11" t="s">
        <v>213</v>
      </c>
      <c r="E11" t="s">
        <v>317</v>
      </c>
      <c r="F11" t="s">
        <v>380</v>
      </c>
      <c r="G11">
        <v>35</v>
      </c>
      <c r="H11">
        <v>3000000000</v>
      </c>
      <c r="I11">
        <v>62.5</v>
      </c>
      <c r="J11">
        <v>100</v>
      </c>
      <c r="K11">
        <v>24</v>
      </c>
      <c r="L11">
        <v>30</v>
      </c>
      <c r="M11">
        <v>100</v>
      </c>
      <c r="N11">
        <v>10000</v>
      </c>
      <c r="O11">
        <v>6</v>
      </c>
      <c r="P11">
        <v>5</v>
      </c>
      <c r="R11" t="s">
        <v>431</v>
      </c>
      <c r="U11" t="s">
        <v>542</v>
      </c>
    </row>
    <row r="12" spans="1:21" x14ac:dyDescent="0.4">
      <c r="A12" t="s">
        <v>30</v>
      </c>
      <c r="B12" t="s">
        <v>146</v>
      </c>
      <c r="C12">
        <v>2014</v>
      </c>
      <c r="D12" t="s">
        <v>214</v>
      </c>
      <c r="G12">
        <v>0</v>
      </c>
      <c r="H12">
        <v>200000000</v>
      </c>
      <c r="I12">
        <v>37.5</v>
      </c>
      <c r="J12">
        <v>60</v>
      </c>
      <c r="K12">
        <v>12</v>
      </c>
      <c r="L12">
        <v>20</v>
      </c>
      <c r="M12">
        <v>25</v>
      </c>
      <c r="N12">
        <v>15000</v>
      </c>
      <c r="O12">
        <v>5</v>
      </c>
      <c r="P12">
        <v>2</v>
      </c>
      <c r="R12" t="s">
        <v>432</v>
      </c>
    </row>
    <row r="13" spans="1:21" x14ac:dyDescent="0.4">
      <c r="A13" t="s">
        <v>31</v>
      </c>
      <c r="B13" t="s">
        <v>147</v>
      </c>
      <c r="C13">
        <v>2008</v>
      </c>
      <c r="D13" t="s">
        <v>215</v>
      </c>
      <c r="E13" t="s">
        <v>318</v>
      </c>
      <c r="G13">
        <v>0</v>
      </c>
      <c r="H13">
        <v>35000000</v>
      </c>
      <c r="I13">
        <v>12.5</v>
      </c>
      <c r="J13">
        <v>8</v>
      </c>
      <c r="K13">
        <v>24</v>
      </c>
      <c r="L13">
        <v>10</v>
      </c>
      <c r="M13">
        <v>4</v>
      </c>
      <c r="N13">
        <v>5000</v>
      </c>
      <c r="O13">
        <v>3</v>
      </c>
      <c r="P13">
        <v>1</v>
      </c>
      <c r="R13" t="s">
        <v>433</v>
      </c>
    </row>
    <row r="14" spans="1:21" x14ac:dyDescent="0.4">
      <c r="A14" t="s">
        <v>32</v>
      </c>
      <c r="B14" t="s">
        <v>148</v>
      </c>
      <c r="C14">
        <v>2016</v>
      </c>
      <c r="D14" t="s">
        <v>216</v>
      </c>
      <c r="E14" t="s">
        <v>319</v>
      </c>
      <c r="G14">
        <v>0</v>
      </c>
      <c r="H14">
        <v>250000000</v>
      </c>
      <c r="I14">
        <v>32.5</v>
      </c>
      <c r="J14">
        <v>67</v>
      </c>
      <c r="K14">
        <v>10</v>
      </c>
      <c r="L14">
        <v>12</v>
      </c>
      <c r="M14">
        <v>20</v>
      </c>
      <c r="N14">
        <v>10000</v>
      </c>
      <c r="O14">
        <v>4</v>
      </c>
      <c r="P14">
        <v>1</v>
      </c>
      <c r="R14" t="s">
        <v>434</v>
      </c>
    </row>
    <row r="15" spans="1:21" x14ac:dyDescent="0.4">
      <c r="A15" t="s">
        <v>33</v>
      </c>
      <c r="B15" t="s">
        <v>149</v>
      </c>
      <c r="C15">
        <v>2011</v>
      </c>
      <c r="D15" t="s">
        <v>217</v>
      </c>
      <c r="F15" t="s">
        <v>381</v>
      </c>
      <c r="G15">
        <v>0</v>
      </c>
      <c r="H15">
        <v>30000000</v>
      </c>
      <c r="I15">
        <v>17.5</v>
      </c>
      <c r="J15">
        <v>15</v>
      </c>
      <c r="K15">
        <v>15</v>
      </c>
      <c r="L15">
        <v>5</v>
      </c>
      <c r="M15">
        <v>8</v>
      </c>
      <c r="N15">
        <v>9500</v>
      </c>
      <c r="O15">
        <v>3</v>
      </c>
      <c r="P15">
        <v>1</v>
      </c>
      <c r="R15" t="s">
        <v>435</v>
      </c>
    </row>
    <row r="16" spans="1:21" x14ac:dyDescent="0.4">
      <c r="A16" t="s">
        <v>34</v>
      </c>
      <c r="B16" t="s">
        <v>142</v>
      </c>
      <c r="C16">
        <v>2013</v>
      </c>
      <c r="D16" t="s">
        <v>218</v>
      </c>
      <c r="E16" t="s">
        <v>320</v>
      </c>
      <c r="G16">
        <v>3</v>
      </c>
      <c r="H16">
        <v>150000000</v>
      </c>
      <c r="I16">
        <v>37.5</v>
      </c>
      <c r="J16">
        <v>50</v>
      </c>
      <c r="K16">
        <v>11</v>
      </c>
      <c r="L16">
        <v>15</v>
      </c>
      <c r="M16">
        <v>40</v>
      </c>
      <c r="N16">
        <v>16000</v>
      </c>
      <c r="O16">
        <v>6</v>
      </c>
      <c r="P16">
        <v>2</v>
      </c>
      <c r="R16" t="s">
        <v>436</v>
      </c>
      <c r="U16" t="s">
        <v>543</v>
      </c>
    </row>
    <row r="17" spans="1:38" x14ac:dyDescent="0.4">
      <c r="A17" t="s">
        <v>35</v>
      </c>
      <c r="B17" t="s">
        <v>150</v>
      </c>
      <c r="C17">
        <v>2000</v>
      </c>
      <c r="D17" t="s">
        <v>219</v>
      </c>
      <c r="G17">
        <v>1</v>
      </c>
      <c r="H17">
        <v>4500000000</v>
      </c>
      <c r="I17">
        <v>57.5</v>
      </c>
      <c r="J17">
        <v>125</v>
      </c>
      <c r="K17">
        <v>34</v>
      </c>
      <c r="L17">
        <v>35</v>
      </c>
      <c r="M17">
        <v>60</v>
      </c>
      <c r="N17">
        <v>12000</v>
      </c>
      <c r="O17">
        <v>6</v>
      </c>
      <c r="P17">
        <v>3</v>
      </c>
      <c r="R17" t="s">
        <v>437</v>
      </c>
      <c r="U17" t="s">
        <v>544</v>
      </c>
    </row>
    <row r="18" spans="1:38" s="3" customFormat="1" x14ac:dyDescent="0.4">
      <c r="A18" s="3" t="s">
        <v>36</v>
      </c>
      <c r="B18" s="3" t="s">
        <v>150</v>
      </c>
      <c r="C18" s="3">
        <v>2010</v>
      </c>
      <c r="D18" s="3" t="s">
        <v>220</v>
      </c>
      <c r="E18" s="3" t="s">
        <v>321</v>
      </c>
      <c r="F18" s="3" t="s">
        <v>382</v>
      </c>
      <c r="G18" s="3">
        <v>15</v>
      </c>
      <c r="H18" s="3">
        <v>15000000000</v>
      </c>
      <c r="I18" s="3">
        <v>62.5</v>
      </c>
      <c r="J18" s="3">
        <v>45</v>
      </c>
      <c r="K18" s="3">
        <v>20</v>
      </c>
      <c r="L18" s="3">
        <v>25</v>
      </c>
      <c r="M18" s="3">
        <v>550</v>
      </c>
      <c r="N18" s="3">
        <v>500</v>
      </c>
      <c r="O18" s="3">
        <v>6</v>
      </c>
      <c r="P18" s="3">
        <v>2</v>
      </c>
      <c r="R18" s="3" t="s">
        <v>438</v>
      </c>
      <c r="V18"/>
      <c r="AL18" s="3" t="s">
        <v>571</v>
      </c>
    </row>
    <row r="19" spans="1:38" x14ac:dyDescent="0.4">
      <c r="A19" t="s">
        <v>37</v>
      </c>
      <c r="B19" t="s">
        <v>151</v>
      </c>
      <c r="C19">
        <v>2014</v>
      </c>
      <c r="D19" t="s">
        <v>221</v>
      </c>
      <c r="E19" t="s">
        <v>322</v>
      </c>
      <c r="G19">
        <v>5</v>
      </c>
      <c r="H19">
        <v>850000000</v>
      </c>
      <c r="I19">
        <v>52.5</v>
      </c>
      <c r="J19">
        <v>100</v>
      </c>
      <c r="K19">
        <v>12</v>
      </c>
      <c r="L19">
        <v>20</v>
      </c>
      <c r="M19">
        <v>50</v>
      </c>
      <c r="N19">
        <v>10000</v>
      </c>
      <c r="O19">
        <v>5</v>
      </c>
      <c r="P19">
        <v>4</v>
      </c>
      <c r="R19" t="s">
        <v>439</v>
      </c>
    </row>
    <row r="20" spans="1:38" x14ac:dyDescent="0.4">
      <c r="A20" t="s">
        <v>38</v>
      </c>
      <c r="B20" t="s">
        <v>142</v>
      </c>
      <c r="C20">
        <v>2007</v>
      </c>
      <c r="D20" t="s">
        <v>222</v>
      </c>
      <c r="G20">
        <v>2</v>
      </c>
      <c r="H20">
        <v>150000000</v>
      </c>
      <c r="I20">
        <v>42.5</v>
      </c>
      <c r="J20">
        <v>45</v>
      </c>
      <c r="K20">
        <v>11</v>
      </c>
      <c r="L20">
        <v>20</v>
      </c>
      <c r="M20">
        <v>30</v>
      </c>
      <c r="N20">
        <v>4300</v>
      </c>
      <c r="O20">
        <v>5</v>
      </c>
      <c r="P20">
        <v>2</v>
      </c>
      <c r="R20" t="s">
        <v>440</v>
      </c>
    </row>
    <row r="21" spans="1:38" x14ac:dyDescent="0.4">
      <c r="A21" t="s">
        <v>39</v>
      </c>
      <c r="B21" t="s">
        <v>152</v>
      </c>
      <c r="C21">
        <v>2013</v>
      </c>
      <c r="D21" t="s">
        <v>223</v>
      </c>
      <c r="E21" t="s">
        <v>323</v>
      </c>
      <c r="F21" t="s">
        <v>383</v>
      </c>
      <c r="G21">
        <v>10</v>
      </c>
      <c r="H21">
        <v>1000000000</v>
      </c>
      <c r="I21">
        <v>62.5</v>
      </c>
      <c r="J21">
        <v>150</v>
      </c>
      <c r="K21">
        <v>13</v>
      </c>
      <c r="L21">
        <v>40</v>
      </c>
      <c r="M21">
        <v>100</v>
      </c>
      <c r="N21">
        <v>120000</v>
      </c>
      <c r="O21">
        <v>6</v>
      </c>
      <c r="P21">
        <v>2</v>
      </c>
      <c r="R21" t="s">
        <v>441</v>
      </c>
      <c r="U21" t="s">
        <v>545</v>
      </c>
    </row>
    <row r="22" spans="1:38" x14ac:dyDescent="0.4">
      <c r="A22" t="s">
        <v>40</v>
      </c>
      <c r="B22" t="s">
        <v>153</v>
      </c>
      <c r="C22">
        <v>2012</v>
      </c>
      <c r="D22" t="s">
        <v>224</v>
      </c>
      <c r="E22" t="s">
        <v>324</v>
      </c>
      <c r="G22">
        <v>3</v>
      </c>
      <c r="H22">
        <v>100000000</v>
      </c>
      <c r="I22">
        <v>51.5</v>
      </c>
      <c r="J22">
        <v>80</v>
      </c>
      <c r="K22">
        <v>18</v>
      </c>
      <c r="L22">
        <v>20</v>
      </c>
      <c r="M22">
        <v>35</v>
      </c>
      <c r="N22">
        <v>3100</v>
      </c>
      <c r="O22">
        <v>5</v>
      </c>
      <c r="P22">
        <v>1</v>
      </c>
      <c r="R22" t="s">
        <v>442</v>
      </c>
    </row>
    <row r="23" spans="1:38" x14ac:dyDescent="0.4">
      <c r="A23" t="s">
        <v>41</v>
      </c>
      <c r="B23" t="s">
        <v>149</v>
      </c>
      <c r="C23">
        <v>2012</v>
      </c>
      <c r="D23" t="s">
        <v>225</v>
      </c>
      <c r="G23">
        <v>0</v>
      </c>
      <c r="H23">
        <v>80000000</v>
      </c>
      <c r="I23">
        <v>37.5</v>
      </c>
      <c r="J23">
        <v>35</v>
      </c>
      <c r="K23">
        <v>11</v>
      </c>
      <c r="L23">
        <v>15</v>
      </c>
      <c r="M23">
        <v>20</v>
      </c>
      <c r="N23">
        <v>2650</v>
      </c>
      <c r="O23">
        <v>5</v>
      </c>
      <c r="P23">
        <v>1</v>
      </c>
      <c r="R23" t="s">
        <v>443</v>
      </c>
    </row>
    <row r="24" spans="1:38" x14ac:dyDescent="0.4">
      <c r="A24" t="s">
        <v>42</v>
      </c>
      <c r="B24" t="s">
        <v>154</v>
      </c>
      <c r="C24">
        <v>2009</v>
      </c>
      <c r="D24" t="s">
        <v>226</v>
      </c>
      <c r="E24" t="s">
        <v>325</v>
      </c>
      <c r="G24">
        <v>0</v>
      </c>
      <c r="H24">
        <v>50000000</v>
      </c>
      <c r="I24">
        <v>22.5</v>
      </c>
      <c r="J24">
        <v>42</v>
      </c>
      <c r="K24">
        <v>17</v>
      </c>
      <c r="L24">
        <v>10</v>
      </c>
      <c r="M24">
        <v>15</v>
      </c>
      <c r="N24">
        <v>28000</v>
      </c>
      <c r="O24">
        <v>5</v>
      </c>
      <c r="P24">
        <v>1</v>
      </c>
      <c r="R24" t="s">
        <v>444</v>
      </c>
    </row>
    <row r="25" spans="1:38" x14ac:dyDescent="0.4">
      <c r="A25" t="s">
        <v>43</v>
      </c>
      <c r="B25" t="s">
        <v>155</v>
      </c>
      <c r="C25">
        <v>2010</v>
      </c>
      <c r="D25" t="s">
        <v>227</v>
      </c>
      <c r="E25" t="s">
        <v>326</v>
      </c>
      <c r="F25" t="s">
        <v>384</v>
      </c>
      <c r="G25">
        <v>0</v>
      </c>
      <c r="H25">
        <v>40000000</v>
      </c>
      <c r="I25">
        <v>17.5</v>
      </c>
      <c r="J25">
        <v>15</v>
      </c>
      <c r="K25">
        <v>16</v>
      </c>
      <c r="L25">
        <v>8</v>
      </c>
      <c r="M25">
        <v>10</v>
      </c>
      <c r="N25">
        <v>2000</v>
      </c>
      <c r="O25">
        <v>4</v>
      </c>
      <c r="P25">
        <v>1</v>
      </c>
      <c r="R25" t="s">
        <v>445</v>
      </c>
    </row>
    <row r="26" spans="1:38" x14ac:dyDescent="0.4">
      <c r="A26" t="s">
        <v>44</v>
      </c>
      <c r="B26" t="s">
        <v>149</v>
      </c>
      <c r="C26">
        <v>2015</v>
      </c>
      <c r="D26" t="s">
        <v>228</v>
      </c>
      <c r="E26" t="s">
        <v>327</v>
      </c>
      <c r="G26">
        <v>0</v>
      </c>
      <c r="H26">
        <v>150000000</v>
      </c>
      <c r="I26">
        <v>22.5</v>
      </c>
      <c r="J26">
        <v>40</v>
      </c>
      <c r="K26">
        <v>12</v>
      </c>
      <c r="L26">
        <v>15</v>
      </c>
      <c r="M26">
        <v>20</v>
      </c>
      <c r="N26">
        <v>8000</v>
      </c>
      <c r="O26">
        <v>4</v>
      </c>
      <c r="P26">
        <v>1</v>
      </c>
      <c r="R26" t="s">
        <v>446</v>
      </c>
      <c r="U26" t="s">
        <v>546</v>
      </c>
    </row>
    <row r="27" spans="1:38" x14ac:dyDescent="0.4">
      <c r="A27" t="s">
        <v>45</v>
      </c>
      <c r="B27" t="s">
        <v>155</v>
      </c>
      <c r="C27">
        <v>2012</v>
      </c>
      <c r="D27" t="s">
        <v>229</v>
      </c>
      <c r="E27" t="s">
        <v>328</v>
      </c>
      <c r="F27" t="s">
        <v>385</v>
      </c>
      <c r="G27">
        <v>0</v>
      </c>
      <c r="H27">
        <v>350000000</v>
      </c>
      <c r="I27">
        <v>27.5</v>
      </c>
      <c r="J27">
        <v>100</v>
      </c>
      <c r="K27">
        <v>14</v>
      </c>
      <c r="L27">
        <v>20</v>
      </c>
      <c r="M27">
        <v>25</v>
      </c>
      <c r="N27">
        <v>10000</v>
      </c>
      <c r="O27">
        <v>5</v>
      </c>
      <c r="P27">
        <v>1</v>
      </c>
      <c r="R27" t="s">
        <v>447</v>
      </c>
    </row>
    <row r="28" spans="1:38" x14ac:dyDescent="0.4">
      <c r="A28" t="s">
        <v>46</v>
      </c>
      <c r="B28" t="s">
        <v>156</v>
      </c>
      <c r="C28">
        <v>2006</v>
      </c>
      <c r="D28" t="s">
        <v>230</v>
      </c>
      <c r="E28" t="s">
        <v>329</v>
      </c>
      <c r="F28" t="s">
        <v>386</v>
      </c>
      <c r="G28">
        <v>5</v>
      </c>
      <c r="H28">
        <v>1500000000</v>
      </c>
      <c r="I28">
        <v>27.5</v>
      </c>
      <c r="J28">
        <v>250</v>
      </c>
      <c r="K28">
        <v>20</v>
      </c>
      <c r="L28">
        <v>30</v>
      </c>
      <c r="M28">
        <v>40</v>
      </c>
      <c r="N28">
        <v>25000</v>
      </c>
      <c r="O28">
        <v>6</v>
      </c>
      <c r="P28">
        <v>3</v>
      </c>
      <c r="R28" t="s">
        <v>448</v>
      </c>
      <c r="U28" t="s">
        <v>547</v>
      </c>
    </row>
    <row r="29" spans="1:38" x14ac:dyDescent="0.4">
      <c r="A29" t="s">
        <v>47</v>
      </c>
      <c r="B29" t="s">
        <v>142</v>
      </c>
      <c r="C29">
        <v>2006</v>
      </c>
      <c r="D29" t="s">
        <v>231</v>
      </c>
      <c r="G29">
        <v>14</v>
      </c>
      <c r="H29">
        <v>1000000000</v>
      </c>
      <c r="I29">
        <v>47.5</v>
      </c>
      <c r="J29">
        <v>100</v>
      </c>
      <c r="K29">
        <v>28</v>
      </c>
      <c r="L29">
        <v>60</v>
      </c>
      <c r="M29">
        <v>40</v>
      </c>
      <c r="N29">
        <v>5000</v>
      </c>
      <c r="O29">
        <v>5</v>
      </c>
      <c r="P29">
        <v>3</v>
      </c>
      <c r="R29" t="s">
        <v>449</v>
      </c>
      <c r="T29" t="s">
        <v>538</v>
      </c>
      <c r="U29" t="s">
        <v>546</v>
      </c>
    </row>
    <row r="30" spans="1:38" x14ac:dyDescent="0.4">
      <c r="A30" t="s">
        <v>48</v>
      </c>
      <c r="B30" t="s">
        <v>157</v>
      </c>
      <c r="C30">
        <v>2008</v>
      </c>
      <c r="D30" t="s">
        <v>232</v>
      </c>
      <c r="G30">
        <v>0</v>
      </c>
      <c r="H30">
        <v>100000000</v>
      </c>
      <c r="I30">
        <v>32.5</v>
      </c>
      <c r="J30">
        <v>60</v>
      </c>
      <c r="K30">
        <v>18</v>
      </c>
      <c r="L30">
        <v>15</v>
      </c>
      <c r="M30">
        <v>20</v>
      </c>
      <c r="N30">
        <v>7000</v>
      </c>
      <c r="O30">
        <v>5</v>
      </c>
      <c r="P30">
        <v>1</v>
      </c>
      <c r="R30" t="s">
        <v>450</v>
      </c>
    </row>
    <row r="31" spans="1:38" x14ac:dyDescent="0.4">
      <c r="A31" t="s">
        <v>49</v>
      </c>
      <c r="B31" t="s">
        <v>158</v>
      </c>
      <c r="C31">
        <v>2010</v>
      </c>
      <c r="D31" t="s">
        <v>233</v>
      </c>
      <c r="E31" t="s">
        <v>330</v>
      </c>
      <c r="F31" t="s">
        <v>387</v>
      </c>
      <c r="G31">
        <v>2</v>
      </c>
      <c r="H31">
        <v>100000000</v>
      </c>
      <c r="I31">
        <v>37.5</v>
      </c>
      <c r="J31">
        <v>30</v>
      </c>
      <c r="K31">
        <v>16</v>
      </c>
      <c r="L31">
        <v>15</v>
      </c>
      <c r="M31">
        <v>20</v>
      </c>
      <c r="N31">
        <v>38000</v>
      </c>
      <c r="O31">
        <v>5</v>
      </c>
      <c r="P31">
        <v>2</v>
      </c>
      <c r="R31" t="s">
        <v>451</v>
      </c>
    </row>
    <row r="32" spans="1:38" x14ac:dyDescent="0.4">
      <c r="A32" t="s">
        <v>50</v>
      </c>
      <c r="B32" t="s">
        <v>159</v>
      </c>
      <c r="C32">
        <v>2010</v>
      </c>
      <c r="D32" t="s">
        <v>234</v>
      </c>
      <c r="E32" t="s">
        <v>331</v>
      </c>
      <c r="F32" t="s">
        <v>388</v>
      </c>
      <c r="G32">
        <v>0</v>
      </c>
      <c r="H32">
        <v>50000000</v>
      </c>
      <c r="I32">
        <v>27.5</v>
      </c>
      <c r="J32">
        <v>18</v>
      </c>
      <c r="K32">
        <v>16</v>
      </c>
      <c r="L32">
        <v>10</v>
      </c>
      <c r="M32">
        <v>115</v>
      </c>
      <c r="N32">
        <v>500</v>
      </c>
      <c r="O32">
        <v>4</v>
      </c>
      <c r="P32">
        <v>1</v>
      </c>
      <c r="R32" t="s">
        <v>452</v>
      </c>
      <c r="U32" t="s">
        <v>546</v>
      </c>
    </row>
    <row r="33" spans="1:21" x14ac:dyDescent="0.4">
      <c r="A33" t="s">
        <v>51</v>
      </c>
      <c r="B33" t="s">
        <v>160</v>
      </c>
      <c r="C33">
        <v>2013</v>
      </c>
      <c r="G33">
        <v>45</v>
      </c>
      <c r="H33">
        <v>1000000000</v>
      </c>
      <c r="I33">
        <v>52.5</v>
      </c>
      <c r="J33">
        <v>200</v>
      </c>
      <c r="K33">
        <v>13</v>
      </c>
      <c r="L33">
        <v>100</v>
      </c>
      <c r="M33">
        <v>150</v>
      </c>
      <c r="N33">
        <v>3000</v>
      </c>
      <c r="O33">
        <v>5</v>
      </c>
      <c r="P33">
        <v>10</v>
      </c>
      <c r="R33" t="s">
        <v>453</v>
      </c>
      <c r="U33" t="s">
        <v>548</v>
      </c>
    </row>
    <row r="34" spans="1:21" x14ac:dyDescent="0.4">
      <c r="A34" t="s">
        <v>52</v>
      </c>
      <c r="B34" t="s">
        <v>161</v>
      </c>
      <c r="C34">
        <v>2004</v>
      </c>
      <c r="D34" t="s">
        <v>235</v>
      </c>
      <c r="E34" t="s">
        <v>332</v>
      </c>
      <c r="G34">
        <v>0</v>
      </c>
      <c r="H34">
        <v>50000000</v>
      </c>
      <c r="I34">
        <v>22.5</v>
      </c>
      <c r="J34">
        <v>23</v>
      </c>
      <c r="K34">
        <v>21</v>
      </c>
      <c r="L34">
        <v>10</v>
      </c>
      <c r="M34">
        <v>15</v>
      </c>
      <c r="N34">
        <v>13000</v>
      </c>
      <c r="O34">
        <v>4</v>
      </c>
      <c r="P34">
        <v>1</v>
      </c>
      <c r="R34" t="s">
        <v>454</v>
      </c>
    </row>
    <row r="35" spans="1:21" x14ac:dyDescent="0.4">
      <c r="A35" t="s">
        <v>53</v>
      </c>
      <c r="B35" t="s">
        <v>162</v>
      </c>
      <c r="C35">
        <v>1994</v>
      </c>
      <c r="D35" t="s">
        <v>236</v>
      </c>
      <c r="E35" t="s">
        <v>333</v>
      </c>
      <c r="G35">
        <v>0</v>
      </c>
      <c r="H35">
        <v>50000000</v>
      </c>
      <c r="I35">
        <v>22.5</v>
      </c>
      <c r="J35">
        <v>20</v>
      </c>
      <c r="K35">
        <v>32</v>
      </c>
      <c r="L35">
        <v>10</v>
      </c>
      <c r="M35">
        <v>15</v>
      </c>
      <c r="N35">
        <v>6000</v>
      </c>
      <c r="O35">
        <v>4</v>
      </c>
      <c r="P35">
        <v>1</v>
      </c>
      <c r="R35" t="s">
        <v>455</v>
      </c>
    </row>
    <row r="36" spans="1:21" x14ac:dyDescent="0.4">
      <c r="A36" t="s">
        <v>54</v>
      </c>
      <c r="B36" t="s">
        <v>163</v>
      </c>
      <c r="C36">
        <v>2004</v>
      </c>
      <c r="D36" t="s">
        <v>237</v>
      </c>
      <c r="G36">
        <v>0</v>
      </c>
      <c r="H36">
        <v>150000000</v>
      </c>
      <c r="I36">
        <v>22.5</v>
      </c>
      <c r="J36">
        <v>23</v>
      </c>
      <c r="K36">
        <v>40</v>
      </c>
      <c r="L36">
        <v>25</v>
      </c>
      <c r="M36">
        <v>15</v>
      </c>
      <c r="N36">
        <v>7100</v>
      </c>
      <c r="O36">
        <v>5</v>
      </c>
      <c r="P36">
        <v>1</v>
      </c>
      <c r="R36" t="s">
        <v>456</v>
      </c>
    </row>
    <row r="37" spans="1:21" x14ac:dyDescent="0.4">
      <c r="A37" t="s">
        <v>55</v>
      </c>
      <c r="B37" t="s">
        <v>164</v>
      </c>
      <c r="C37">
        <v>2002</v>
      </c>
      <c r="D37" t="s">
        <v>238</v>
      </c>
      <c r="E37" t="s">
        <v>334</v>
      </c>
      <c r="F37" t="s">
        <v>389</v>
      </c>
      <c r="G37">
        <v>15</v>
      </c>
      <c r="H37">
        <v>500000000</v>
      </c>
      <c r="I37">
        <v>47.5</v>
      </c>
      <c r="J37">
        <v>150</v>
      </c>
      <c r="K37">
        <v>26</v>
      </c>
      <c r="L37">
        <v>30</v>
      </c>
      <c r="M37">
        <v>50</v>
      </c>
      <c r="N37">
        <v>1350</v>
      </c>
      <c r="O37">
        <v>6</v>
      </c>
      <c r="P37">
        <v>1</v>
      </c>
      <c r="R37" t="s">
        <v>457</v>
      </c>
      <c r="U37" t="s">
        <v>549</v>
      </c>
    </row>
    <row r="38" spans="1:21" x14ac:dyDescent="0.4">
      <c r="A38" t="s">
        <v>56</v>
      </c>
      <c r="B38" t="s">
        <v>138</v>
      </c>
      <c r="C38">
        <v>2006</v>
      </c>
      <c r="D38" t="s">
        <v>239</v>
      </c>
      <c r="G38">
        <v>0</v>
      </c>
      <c r="H38">
        <v>50000000</v>
      </c>
      <c r="I38">
        <v>17.5</v>
      </c>
      <c r="J38">
        <v>18</v>
      </c>
      <c r="K38">
        <v>20</v>
      </c>
      <c r="L38">
        <v>10</v>
      </c>
      <c r="M38">
        <v>10</v>
      </c>
      <c r="N38">
        <v>5200</v>
      </c>
      <c r="O38">
        <v>5</v>
      </c>
      <c r="P38">
        <v>1</v>
      </c>
      <c r="R38" t="s">
        <v>458</v>
      </c>
    </row>
    <row r="39" spans="1:21" x14ac:dyDescent="0.4">
      <c r="A39" t="s">
        <v>57</v>
      </c>
      <c r="B39" t="s">
        <v>165</v>
      </c>
      <c r="C39">
        <v>1998</v>
      </c>
      <c r="D39" t="s">
        <v>240</v>
      </c>
      <c r="E39" t="s">
        <v>335</v>
      </c>
      <c r="F39" t="s">
        <v>390</v>
      </c>
      <c r="G39">
        <v>2</v>
      </c>
      <c r="H39">
        <v>150000000</v>
      </c>
      <c r="I39">
        <v>27.5</v>
      </c>
      <c r="J39">
        <v>32.5</v>
      </c>
      <c r="K39">
        <v>28</v>
      </c>
      <c r="L39">
        <v>20</v>
      </c>
      <c r="M39">
        <v>15</v>
      </c>
      <c r="N39">
        <v>8500</v>
      </c>
      <c r="O39">
        <v>5</v>
      </c>
      <c r="P39">
        <v>2</v>
      </c>
      <c r="R39" t="s">
        <v>459</v>
      </c>
    </row>
    <row r="40" spans="1:21" x14ac:dyDescent="0.4">
      <c r="A40" t="s">
        <v>58</v>
      </c>
      <c r="B40" t="s">
        <v>166</v>
      </c>
      <c r="C40">
        <v>2015</v>
      </c>
      <c r="D40" t="s">
        <v>241</v>
      </c>
      <c r="G40">
        <v>0</v>
      </c>
      <c r="H40">
        <v>200000000</v>
      </c>
      <c r="I40">
        <v>22.5</v>
      </c>
      <c r="J40">
        <v>28</v>
      </c>
      <c r="K40">
        <v>11</v>
      </c>
      <c r="L40">
        <v>15</v>
      </c>
      <c r="M40">
        <v>10</v>
      </c>
      <c r="N40">
        <v>5000</v>
      </c>
      <c r="O40">
        <v>4</v>
      </c>
      <c r="P40">
        <v>1</v>
      </c>
      <c r="R40" t="s">
        <v>460</v>
      </c>
    </row>
    <row r="41" spans="1:21" x14ac:dyDescent="0.4">
      <c r="A41" t="s">
        <v>59</v>
      </c>
      <c r="B41" t="s">
        <v>138</v>
      </c>
      <c r="C41">
        <v>2013</v>
      </c>
      <c r="D41" t="s">
        <v>242</v>
      </c>
      <c r="F41" t="s">
        <v>391</v>
      </c>
      <c r="G41">
        <v>0</v>
      </c>
      <c r="H41">
        <v>50000000</v>
      </c>
      <c r="I41">
        <v>17.5</v>
      </c>
      <c r="J41">
        <v>23</v>
      </c>
      <c r="K41">
        <v>11</v>
      </c>
      <c r="L41">
        <v>10</v>
      </c>
      <c r="M41">
        <v>10</v>
      </c>
      <c r="N41">
        <v>15700</v>
      </c>
      <c r="O41">
        <v>4</v>
      </c>
      <c r="P41">
        <v>1</v>
      </c>
      <c r="R41" t="s">
        <v>461</v>
      </c>
    </row>
    <row r="42" spans="1:21" x14ac:dyDescent="0.4">
      <c r="A42" t="s">
        <v>60</v>
      </c>
      <c r="B42" t="s">
        <v>138</v>
      </c>
      <c r="C42">
        <v>2006</v>
      </c>
      <c r="D42" t="s">
        <v>243</v>
      </c>
      <c r="E42" t="s">
        <v>336</v>
      </c>
      <c r="F42" t="s">
        <v>392</v>
      </c>
      <c r="G42">
        <v>4</v>
      </c>
      <c r="H42">
        <v>150000000</v>
      </c>
      <c r="I42">
        <v>37.5</v>
      </c>
      <c r="J42">
        <v>18</v>
      </c>
      <c r="K42">
        <v>20</v>
      </c>
      <c r="L42">
        <v>20</v>
      </c>
      <c r="M42">
        <v>50</v>
      </c>
      <c r="N42">
        <v>10600</v>
      </c>
      <c r="O42">
        <v>4</v>
      </c>
      <c r="P42">
        <v>1</v>
      </c>
      <c r="R42" t="s">
        <v>462</v>
      </c>
      <c r="U42" t="s">
        <v>546</v>
      </c>
    </row>
    <row r="43" spans="1:21" x14ac:dyDescent="0.4">
      <c r="A43" t="s">
        <v>61</v>
      </c>
      <c r="B43" t="s">
        <v>167</v>
      </c>
      <c r="C43">
        <v>1994</v>
      </c>
      <c r="D43" t="s">
        <v>244</v>
      </c>
      <c r="E43" t="s">
        <v>337</v>
      </c>
      <c r="F43" t="s">
        <v>393</v>
      </c>
      <c r="G43">
        <v>2</v>
      </c>
      <c r="H43">
        <v>150000000</v>
      </c>
      <c r="I43">
        <v>22.5</v>
      </c>
      <c r="J43">
        <v>23</v>
      </c>
      <c r="K43">
        <v>40</v>
      </c>
      <c r="L43">
        <v>15</v>
      </c>
      <c r="M43">
        <v>15</v>
      </c>
      <c r="N43">
        <v>10500</v>
      </c>
      <c r="O43">
        <v>4</v>
      </c>
      <c r="P43">
        <v>1</v>
      </c>
      <c r="R43" t="s">
        <v>463</v>
      </c>
    </row>
    <row r="44" spans="1:21" x14ac:dyDescent="0.4">
      <c r="A44" t="s">
        <v>62</v>
      </c>
      <c r="B44" t="s">
        <v>168</v>
      </c>
      <c r="C44">
        <v>2000</v>
      </c>
      <c r="D44" t="s">
        <v>245</v>
      </c>
      <c r="E44" t="s">
        <v>338</v>
      </c>
      <c r="F44" t="s">
        <v>394</v>
      </c>
      <c r="G44">
        <v>5</v>
      </c>
      <c r="H44">
        <v>1000000000</v>
      </c>
      <c r="I44">
        <v>32.5</v>
      </c>
      <c r="J44">
        <v>100</v>
      </c>
      <c r="K44">
        <v>26</v>
      </c>
      <c r="L44">
        <v>25</v>
      </c>
      <c r="M44">
        <v>40</v>
      </c>
      <c r="N44">
        <v>9500</v>
      </c>
      <c r="O44">
        <v>6</v>
      </c>
      <c r="P44">
        <v>1</v>
      </c>
      <c r="R44" t="s">
        <v>464</v>
      </c>
      <c r="U44" t="s">
        <v>550</v>
      </c>
    </row>
    <row r="45" spans="1:21" x14ac:dyDescent="0.4">
      <c r="A45" t="s">
        <v>63</v>
      </c>
      <c r="B45" t="s">
        <v>169</v>
      </c>
      <c r="C45">
        <v>2015</v>
      </c>
      <c r="D45" t="s">
        <v>246</v>
      </c>
      <c r="F45" t="s">
        <v>395</v>
      </c>
      <c r="G45">
        <v>0</v>
      </c>
      <c r="H45">
        <v>430000000</v>
      </c>
      <c r="I45">
        <v>12.5</v>
      </c>
      <c r="J45">
        <v>18</v>
      </c>
      <c r="K45">
        <v>11</v>
      </c>
      <c r="L45">
        <v>10</v>
      </c>
      <c r="M45">
        <v>10</v>
      </c>
      <c r="N45">
        <v>3150</v>
      </c>
      <c r="O45">
        <v>5</v>
      </c>
      <c r="P45">
        <v>1</v>
      </c>
      <c r="R45" t="s">
        <v>465</v>
      </c>
    </row>
    <row r="46" spans="1:21" x14ac:dyDescent="0.4">
      <c r="A46" t="s">
        <v>64</v>
      </c>
      <c r="B46" t="s">
        <v>170</v>
      </c>
      <c r="C46">
        <v>2008</v>
      </c>
      <c r="D46" t="s">
        <v>247</v>
      </c>
      <c r="G46">
        <v>0</v>
      </c>
      <c r="H46">
        <v>50000000</v>
      </c>
      <c r="I46">
        <v>12.5</v>
      </c>
      <c r="J46">
        <v>13</v>
      </c>
      <c r="K46">
        <v>17</v>
      </c>
      <c r="L46">
        <v>10</v>
      </c>
      <c r="M46">
        <v>10</v>
      </c>
      <c r="N46">
        <v>1700</v>
      </c>
      <c r="O46">
        <v>4</v>
      </c>
      <c r="P46">
        <v>1</v>
      </c>
      <c r="R46" t="s">
        <v>466</v>
      </c>
    </row>
    <row r="47" spans="1:21" x14ac:dyDescent="0.4">
      <c r="A47" t="s">
        <v>65</v>
      </c>
      <c r="B47" t="s">
        <v>171</v>
      </c>
      <c r="C47">
        <v>2015</v>
      </c>
      <c r="E47" t="s">
        <v>339</v>
      </c>
      <c r="G47">
        <v>2</v>
      </c>
      <c r="H47">
        <v>150000000</v>
      </c>
      <c r="I47">
        <v>22.5</v>
      </c>
      <c r="J47">
        <v>27</v>
      </c>
      <c r="K47">
        <v>13</v>
      </c>
      <c r="L47">
        <v>15</v>
      </c>
      <c r="M47">
        <v>25</v>
      </c>
      <c r="N47">
        <v>5000</v>
      </c>
      <c r="O47">
        <v>5</v>
      </c>
      <c r="P47">
        <v>1</v>
      </c>
      <c r="R47" t="s">
        <v>467</v>
      </c>
      <c r="U47" t="s">
        <v>546</v>
      </c>
    </row>
    <row r="48" spans="1:21" x14ac:dyDescent="0.4">
      <c r="A48" t="s">
        <v>66</v>
      </c>
      <c r="B48" t="s">
        <v>172</v>
      </c>
      <c r="C48">
        <v>1987</v>
      </c>
      <c r="D48" t="s">
        <v>248</v>
      </c>
      <c r="G48">
        <v>0</v>
      </c>
      <c r="H48">
        <v>100000000</v>
      </c>
      <c r="I48">
        <v>17.5</v>
      </c>
      <c r="J48">
        <v>20</v>
      </c>
      <c r="K48">
        <v>41</v>
      </c>
      <c r="L48">
        <v>10</v>
      </c>
      <c r="M48">
        <v>10</v>
      </c>
      <c r="N48">
        <v>10300</v>
      </c>
      <c r="O48">
        <v>4</v>
      </c>
      <c r="P48">
        <v>1</v>
      </c>
      <c r="R48" t="s">
        <v>468</v>
      </c>
    </row>
    <row r="49" spans="1:21" x14ac:dyDescent="0.4">
      <c r="A49" t="s">
        <v>67</v>
      </c>
      <c r="B49" t="s">
        <v>173</v>
      </c>
      <c r="C49">
        <v>2004</v>
      </c>
      <c r="D49" t="s">
        <v>249</v>
      </c>
      <c r="G49">
        <v>1</v>
      </c>
      <c r="H49">
        <v>50000000</v>
      </c>
      <c r="I49">
        <v>17.5</v>
      </c>
      <c r="J49">
        <v>22.5</v>
      </c>
      <c r="K49">
        <v>38</v>
      </c>
      <c r="L49">
        <v>10</v>
      </c>
      <c r="M49">
        <v>15</v>
      </c>
      <c r="N49">
        <v>11400</v>
      </c>
      <c r="O49">
        <v>5</v>
      </c>
      <c r="P49">
        <v>1</v>
      </c>
      <c r="R49" t="s">
        <v>469</v>
      </c>
    </row>
    <row r="50" spans="1:21" x14ac:dyDescent="0.4">
      <c r="A50" t="s">
        <v>68</v>
      </c>
      <c r="B50" t="s">
        <v>151</v>
      </c>
      <c r="C50">
        <v>2013</v>
      </c>
      <c r="D50" t="s">
        <v>208</v>
      </c>
      <c r="E50" t="s">
        <v>340</v>
      </c>
      <c r="G50">
        <v>0</v>
      </c>
      <c r="H50">
        <v>30000000</v>
      </c>
      <c r="I50">
        <v>12.5</v>
      </c>
      <c r="J50">
        <v>13</v>
      </c>
      <c r="K50">
        <v>14</v>
      </c>
      <c r="L50">
        <v>10</v>
      </c>
      <c r="M50">
        <v>8</v>
      </c>
      <c r="N50">
        <v>4250</v>
      </c>
      <c r="O50">
        <v>4</v>
      </c>
      <c r="P50">
        <v>1</v>
      </c>
      <c r="R50" t="s">
        <v>470</v>
      </c>
    </row>
    <row r="51" spans="1:21" x14ac:dyDescent="0.4">
      <c r="A51" t="s">
        <v>69</v>
      </c>
      <c r="B51" t="s">
        <v>174</v>
      </c>
      <c r="C51">
        <v>2005</v>
      </c>
      <c r="G51">
        <v>4</v>
      </c>
      <c r="H51">
        <v>250000000</v>
      </c>
      <c r="I51">
        <v>37.5</v>
      </c>
      <c r="J51">
        <v>45</v>
      </c>
      <c r="K51">
        <v>22</v>
      </c>
      <c r="L51">
        <v>20</v>
      </c>
      <c r="M51">
        <v>35</v>
      </c>
      <c r="N51">
        <v>18800</v>
      </c>
      <c r="O51">
        <v>5</v>
      </c>
      <c r="P51">
        <v>3</v>
      </c>
      <c r="R51" t="s">
        <v>471</v>
      </c>
    </row>
    <row r="52" spans="1:21" x14ac:dyDescent="0.4">
      <c r="A52" t="s">
        <v>70</v>
      </c>
      <c r="B52" t="s">
        <v>152</v>
      </c>
      <c r="C52">
        <v>2002</v>
      </c>
      <c r="D52" t="s">
        <v>250</v>
      </c>
      <c r="F52" t="s">
        <v>396</v>
      </c>
      <c r="G52">
        <v>0</v>
      </c>
      <c r="H52">
        <v>50000000</v>
      </c>
      <c r="I52">
        <v>17.5</v>
      </c>
      <c r="J52">
        <v>18</v>
      </c>
      <c r="K52">
        <v>23</v>
      </c>
      <c r="L52">
        <v>10</v>
      </c>
      <c r="M52">
        <v>10</v>
      </c>
      <c r="N52">
        <v>15500</v>
      </c>
      <c r="O52">
        <v>4</v>
      </c>
      <c r="P52">
        <v>1</v>
      </c>
      <c r="R52" t="s">
        <v>472</v>
      </c>
    </row>
    <row r="53" spans="1:21" x14ac:dyDescent="0.4">
      <c r="A53" t="s">
        <v>71</v>
      </c>
      <c r="B53" t="s">
        <v>175</v>
      </c>
      <c r="C53">
        <v>2014</v>
      </c>
      <c r="D53" t="s">
        <v>251</v>
      </c>
      <c r="G53">
        <v>0</v>
      </c>
      <c r="H53">
        <v>50000000</v>
      </c>
      <c r="I53">
        <v>17.5</v>
      </c>
      <c r="J53">
        <v>23</v>
      </c>
      <c r="K53">
        <v>11</v>
      </c>
      <c r="L53">
        <v>10</v>
      </c>
      <c r="M53">
        <v>10</v>
      </c>
      <c r="N53">
        <v>20500</v>
      </c>
      <c r="O53">
        <v>5</v>
      </c>
      <c r="P53">
        <v>1</v>
      </c>
      <c r="R53" t="s">
        <v>473</v>
      </c>
    </row>
    <row r="54" spans="1:21" x14ac:dyDescent="0.4">
      <c r="A54" t="s">
        <v>72</v>
      </c>
      <c r="B54" t="s">
        <v>150</v>
      </c>
      <c r="C54">
        <v>2000</v>
      </c>
      <c r="D54" t="s">
        <v>252</v>
      </c>
      <c r="G54">
        <v>10</v>
      </c>
      <c r="H54">
        <v>1500000000</v>
      </c>
      <c r="I54">
        <v>47.5</v>
      </c>
      <c r="J54">
        <v>125</v>
      </c>
      <c r="K54">
        <v>35</v>
      </c>
      <c r="L54">
        <v>40</v>
      </c>
      <c r="M54">
        <v>50</v>
      </c>
      <c r="N54">
        <v>12650</v>
      </c>
      <c r="O54">
        <v>6</v>
      </c>
      <c r="P54">
        <v>3</v>
      </c>
      <c r="R54" t="s">
        <v>474</v>
      </c>
      <c r="U54" t="s">
        <v>551</v>
      </c>
    </row>
    <row r="55" spans="1:21" x14ac:dyDescent="0.4">
      <c r="A55" t="s">
        <v>73</v>
      </c>
      <c r="B55" t="s">
        <v>151</v>
      </c>
      <c r="C55">
        <v>2008</v>
      </c>
      <c r="D55" t="s">
        <v>253</v>
      </c>
      <c r="E55" t="s">
        <v>341</v>
      </c>
      <c r="F55" t="s">
        <v>397</v>
      </c>
      <c r="G55">
        <v>2</v>
      </c>
      <c r="H55">
        <v>150000000</v>
      </c>
      <c r="I55">
        <v>22.5</v>
      </c>
      <c r="J55">
        <v>35</v>
      </c>
      <c r="K55">
        <v>40</v>
      </c>
      <c r="L55">
        <v>15</v>
      </c>
      <c r="M55">
        <v>20</v>
      </c>
      <c r="N55">
        <v>16700</v>
      </c>
      <c r="O55">
        <v>5</v>
      </c>
      <c r="P55">
        <v>2</v>
      </c>
      <c r="R55" t="s">
        <v>475</v>
      </c>
    </row>
    <row r="56" spans="1:21" x14ac:dyDescent="0.4">
      <c r="A56" t="s">
        <v>74</v>
      </c>
      <c r="B56" t="s">
        <v>176</v>
      </c>
      <c r="C56">
        <v>2008</v>
      </c>
      <c r="F56" t="s">
        <v>388</v>
      </c>
      <c r="G56">
        <v>1</v>
      </c>
      <c r="H56">
        <v>500000000</v>
      </c>
      <c r="I56">
        <v>27.5</v>
      </c>
      <c r="J56">
        <v>60</v>
      </c>
      <c r="K56">
        <v>17</v>
      </c>
      <c r="L56">
        <v>20</v>
      </c>
      <c r="M56">
        <v>25</v>
      </c>
      <c r="N56">
        <v>31000</v>
      </c>
      <c r="O56">
        <v>5</v>
      </c>
      <c r="P56">
        <v>1</v>
      </c>
      <c r="R56" t="s">
        <v>476</v>
      </c>
    </row>
    <row r="57" spans="1:21" x14ac:dyDescent="0.4">
      <c r="A57" t="s">
        <v>75</v>
      </c>
      <c r="B57" t="s">
        <v>177</v>
      </c>
      <c r="C57">
        <v>2004</v>
      </c>
      <c r="D57" t="s">
        <v>254</v>
      </c>
      <c r="F57" t="s">
        <v>388</v>
      </c>
      <c r="G57">
        <v>0</v>
      </c>
      <c r="H57">
        <v>50000000</v>
      </c>
      <c r="I57">
        <v>12.5</v>
      </c>
      <c r="J57">
        <v>18</v>
      </c>
      <c r="K57">
        <v>22</v>
      </c>
      <c r="L57">
        <v>10</v>
      </c>
      <c r="M57">
        <v>10</v>
      </c>
      <c r="N57">
        <v>7250</v>
      </c>
      <c r="O57">
        <v>5</v>
      </c>
      <c r="P57">
        <v>1</v>
      </c>
      <c r="R57" t="s">
        <v>477</v>
      </c>
    </row>
    <row r="58" spans="1:21" x14ac:dyDescent="0.4">
      <c r="A58" t="s">
        <v>76</v>
      </c>
      <c r="B58" t="s">
        <v>143</v>
      </c>
      <c r="C58">
        <v>2008</v>
      </c>
      <c r="D58" t="s">
        <v>255</v>
      </c>
      <c r="E58" t="s">
        <v>342</v>
      </c>
      <c r="G58">
        <v>1</v>
      </c>
      <c r="H58">
        <v>100000000</v>
      </c>
      <c r="I58">
        <v>17.5</v>
      </c>
      <c r="J58">
        <v>25</v>
      </c>
      <c r="K58">
        <v>11</v>
      </c>
      <c r="L58">
        <v>15</v>
      </c>
      <c r="M58">
        <v>10</v>
      </c>
      <c r="N58">
        <v>500</v>
      </c>
      <c r="O58">
        <v>4</v>
      </c>
      <c r="P58">
        <v>1</v>
      </c>
      <c r="R58" t="s">
        <v>478</v>
      </c>
    </row>
    <row r="59" spans="1:21" x14ac:dyDescent="0.4">
      <c r="A59" t="s">
        <v>77</v>
      </c>
      <c r="B59" t="s">
        <v>152</v>
      </c>
      <c r="C59">
        <v>2006</v>
      </c>
      <c r="D59" t="s">
        <v>256</v>
      </c>
      <c r="G59">
        <v>0</v>
      </c>
      <c r="H59">
        <v>50000000</v>
      </c>
      <c r="I59">
        <v>12.5</v>
      </c>
      <c r="J59">
        <v>13</v>
      </c>
      <c r="K59">
        <v>20</v>
      </c>
      <c r="L59">
        <v>10</v>
      </c>
      <c r="M59">
        <v>8</v>
      </c>
      <c r="N59">
        <v>8200</v>
      </c>
      <c r="O59">
        <v>4</v>
      </c>
      <c r="P59">
        <v>1</v>
      </c>
      <c r="R59" t="s">
        <v>479</v>
      </c>
    </row>
    <row r="60" spans="1:21" x14ac:dyDescent="0.4">
      <c r="A60" t="s">
        <v>78</v>
      </c>
      <c r="B60" t="s">
        <v>142</v>
      </c>
      <c r="C60">
        <v>2013</v>
      </c>
      <c r="D60" t="s">
        <v>257</v>
      </c>
      <c r="E60" t="s">
        <v>343</v>
      </c>
      <c r="F60" t="s">
        <v>398</v>
      </c>
      <c r="G60">
        <v>0</v>
      </c>
      <c r="H60">
        <v>20000000</v>
      </c>
      <c r="I60">
        <v>17.5</v>
      </c>
      <c r="J60">
        <v>13</v>
      </c>
      <c r="K60">
        <v>13</v>
      </c>
      <c r="L60">
        <v>10</v>
      </c>
      <c r="M60">
        <v>10</v>
      </c>
      <c r="N60">
        <v>5000</v>
      </c>
      <c r="O60">
        <v>4</v>
      </c>
      <c r="P60">
        <v>1</v>
      </c>
      <c r="R60" t="s">
        <v>480</v>
      </c>
    </row>
    <row r="61" spans="1:21" x14ac:dyDescent="0.4">
      <c r="A61" t="s">
        <v>79</v>
      </c>
      <c r="B61" t="s">
        <v>178</v>
      </c>
      <c r="C61">
        <v>2003</v>
      </c>
      <c r="D61" t="s">
        <v>258</v>
      </c>
      <c r="E61" t="s">
        <v>344</v>
      </c>
      <c r="G61">
        <v>0</v>
      </c>
      <c r="H61">
        <v>150000000</v>
      </c>
      <c r="I61">
        <v>22.5</v>
      </c>
      <c r="J61">
        <v>30</v>
      </c>
      <c r="K61">
        <v>23</v>
      </c>
      <c r="L61">
        <v>15</v>
      </c>
      <c r="M61">
        <v>20</v>
      </c>
      <c r="N61">
        <v>35000</v>
      </c>
      <c r="O61">
        <v>5</v>
      </c>
      <c r="P61">
        <v>1</v>
      </c>
      <c r="R61" t="s">
        <v>481</v>
      </c>
    </row>
    <row r="62" spans="1:21" x14ac:dyDescent="0.4">
      <c r="A62" t="s">
        <v>80</v>
      </c>
      <c r="B62" t="s">
        <v>167</v>
      </c>
      <c r="C62">
        <v>2006</v>
      </c>
      <c r="D62" t="s">
        <v>259</v>
      </c>
      <c r="E62" t="s">
        <v>345</v>
      </c>
      <c r="G62">
        <v>3</v>
      </c>
      <c r="H62">
        <v>300000000</v>
      </c>
      <c r="I62">
        <v>37.5</v>
      </c>
      <c r="J62">
        <v>145</v>
      </c>
      <c r="K62">
        <v>19</v>
      </c>
      <c r="L62">
        <v>30</v>
      </c>
      <c r="M62">
        <v>35</v>
      </c>
      <c r="N62">
        <v>30000</v>
      </c>
      <c r="O62">
        <v>5</v>
      </c>
      <c r="P62">
        <v>1</v>
      </c>
      <c r="R62" t="s">
        <v>482</v>
      </c>
      <c r="T62" t="s">
        <v>539</v>
      </c>
    </row>
    <row r="63" spans="1:21" x14ac:dyDescent="0.4">
      <c r="A63" t="s">
        <v>81</v>
      </c>
      <c r="B63" t="s">
        <v>152</v>
      </c>
      <c r="C63">
        <v>2001</v>
      </c>
      <c r="D63" t="s">
        <v>260</v>
      </c>
      <c r="E63" t="s">
        <v>346</v>
      </c>
      <c r="F63" t="s">
        <v>376</v>
      </c>
      <c r="G63">
        <v>0</v>
      </c>
      <c r="H63">
        <v>700000000</v>
      </c>
      <c r="I63">
        <v>27.5</v>
      </c>
      <c r="J63">
        <v>35</v>
      </c>
      <c r="K63">
        <v>25</v>
      </c>
      <c r="L63">
        <v>30</v>
      </c>
      <c r="M63">
        <v>25</v>
      </c>
      <c r="N63">
        <v>10000</v>
      </c>
      <c r="O63">
        <v>4</v>
      </c>
      <c r="P63">
        <v>1</v>
      </c>
      <c r="R63" t="s">
        <v>483</v>
      </c>
      <c r="U63" t="s">
        <v>552</v>
      </c>
    </row>
    <row r="64" spans="1:21" x14ac:dyDescent="0.4">
      <c r="A64" t="s">
        <v>82</v>
      </c>
      <c r="B64" t="s">
        <v>142</v>
      </c>
      <c r="C64">
        <v>2008</v>
      </c>
      <c r="D64" t="s">
        <v>261</v>
      </c>
      <c r="G64">
        <v>0</v>
      </c>
      <c r="H64">
        <v>150000000</v>
      </c>
      <c r="I64">
        <v>32.5</v>
      </c>
      <c r="J64">
        <v>50</v>
      </c>
      <c r="K64">
        <v>25</v>
      </c>
      <c r="L64">
        <v>25</v>
      </c>
      <c r="M64">
        <v>40</v>
      </c>
      <c r="N64">
        <v>1000</v>
      </c>
      <c r="O64">
        <v>5</v>
      </c>
      <c r="P64">
        <v>2</v>
      </c>
      <c r="R64" t="s">
        <v>484</v>
      </c>
      <c r="U64" t="s">
        <v>546</v>
      </c>
    </row>
    <row r="65" spans="1:21" x14ac:dyDescent="0.4">
      <c r="A65" t="s">
        <v>83</v>
      </c>
      <c r="B65" t="s">
        <v>179</v>
      </c>
      <c r="C65">
        <v>2010</v>
      </c>
      <c r="D65" t="s">
        <v>208</v>
      </c>
      <c r="G65">
        <v>0</v>
      </c>
      <c r="H65">
        <v>150000000</v>
      </c>
      <c r="I65">
        <v>22.5</v>
      </c>
      <c r="J65">
        <v>50</v>
      </c>
      <c r="K65">
        <v>13</v>
      </c>
      <c r="L65">
        <v>35</v>
      </c>
      <c r="M65">
        <v>30</v>
      </c>
      <c r="N65">
        <v>10000</v>
      </c>
      <c r="O65">
        <v>5</v>
      </c>
      <c r="P65">
        <v>1</v>
      </c>
      <c r="R65" t="s">
        <v>485</v>
      </c>
    </row>
    <row r="66" spans="1:21" x14ac:dyDescent="0.4">
      <c r="A66" t="s">
        <v>84</v>
      </c>
      <c r="B66" t="s">
        <v>153</v>
      </c>
      <c r="C66">
        <v>2011</v>
      </c>
      <c r="D66" t="s">
        <v>262</v>
      </c>
      <c r="G66">
        <v>0</v>
      </c>
      <c r="H66">
        <v>100000000</v>
      </c>
      <c r="I66">
        <v>22.5</v>
      </c>
      <c r="J66">
        <v>35</v>
      </c>
      <c r="K66">
        <v>12</v>
      </c>
      <c r="L66">
        <v>20</v>
      </c>
      <c r="M66">
        <v>25</v>
      </c>
      <c r="N66">
        <v>2000</v>
      </c>
      <c r="O66">
        <v>5</v>
      </c>
      <c r="P66">
        <v>1</v>
      </c>
      <c r="R66" t="s">
        <v>486</v>
      </c>
      <c r="U66" t="s">
        <v>546</v>
      </c>
    </row>
    <row r="67" spans="1:21" x14ac:dyDescent="0.4">
      <c r="A67" t="s">
        <v>85</v>
      </c>
      <c r="B67" t="s">
        <v>138</v>
      </c>
      <c r="C67">
        <v>2011</v>
      </c>
      <c r="D67" t="s">
        <v>263</v>
      </c>
      <c r="F67" t="s">
        <v>399</v>
      </c>
      <c r="G67">
        <v>0</v>
      </c>
      <c r="H67">
        <v>100000000</v>
      </c>
      <c r="I67">
        <v>12.5</v>
      </c>
      <c r="J67">
        <v>18</v>
      </c>
      <c r="K67">
        <v>18</v>
      </c>
      <c r="L67">
        <v>10</v>
      </c>
      <c r="M67">
        <v>10</v>
      </c>
      <c r="N67">
        <v>6200</v>
      </c>
      <c r="O67">
        <v>5</v>
      </c>
      <c r="P67">
        <v>1</v>
      </c>
      <c r="R67" t="s">
        <v>487</v>
      </c>
    </row>
    <row r="68" spans="1:21" x14ac:dyDescent="0.4">
      <c r="A68" t="s">
        <v>86</v>
      </c>
      <c r="B68" t="s">
        <v>180</v>
      </c>
      <c r="C68">
        <v>2009</v>
      </c>
      <c r="D68" t="s">
        <v>264</v>
      </c>
      <c r="G68">
        <v>0</v>
      </c>
      <c r="H68">
        <v>100000000</v>
      </c>
      <c r="I68">
        <v>12.5</v>
      </c>
      <c r="J68">
        <v>13</v>
      </c>
      <c r="K68">
        <v>14</v>
      </c>
      <c r="L68">
        <v>20</v>
      </c>
      <c r="M68">
        <v>10</v>
      </c>
      <c r="N68">
        <v>4150</v>
      </c>
      <c r="O68">
        <v>4</v>
      </c>
      <c r="P68">
        <v>1</v>
      </c>
      <c r="R68" t="s">
        <v>488</v>
      </c>
    </row>
    <row r="69" spans="1:21" x14ac:dyDescent="0.4">
      <c r="A69" t="s">
        <v>87</v>
      </c>
      <c r="B69" t="s">
        <v>151</v>
      </c>
      <c r="C69">
        <v>2007</v>
      </c>
      <c r="D69" t="s">
        <v>265</v>
      </c>
      <c r="G69">
        <v>0</v>
      </c>
      <c r="H69">
        <v>50000000</v>
      </c>
      <c r="I69">
        <v>12.5</v>
      </c>
      <c r="J69">
        <v>18</v>
      </c>
      <c r="K69">
        <v>21</v>
      </c>
      <c r="L69">
        <v>10</v>
      </c>
      <c r="M69">
        <v>8</v>
      </c>
      <c r="N69">
        <v>20500</v>
      </c>
      <c r="O69">
        <v>4</v>
      </c>
      <c r="P69">
        <v>1</v>
      </c>
      <c r="R69" t="s">
        <v>489</v>
      </c>
    </row>
    <row r="70" spans="1:21" x14ac:dyDescent="0.4">
      <c r="A70" t="s">
        <v>88</v>
      </c>
      <c r="B70" t="s">
        <v>138</v>
      </c>
      <c r="C70">
        <v>2016</v>
      </c>
      <c r="D70" t="s">
        <v>266</v>
      </c>
      <c r="F70" t="s">
        <v>400</v>
      </c>
      <c r="G70">
        <v>0</v>
      </c>
      <c r="H70">
        <v>100000000</v>
      </c>
      <c r="I70">
        <v>22.5</v>
      </c>
      <c r="J70">
        <v>30</v>
      </c>
      <c r="K70">
        <v>25</v>
      </c>
      <c r="L70">
        <v>15</v>
      </c>
      <c r="M70">
        <v>15</v>
      </c>
      <c r="N70">
        <v>5000</v>
      </c>
      <c r="O70">
        <v>4</v>
      </c>
      <c r="P70">
        <v>1</v>
      </c>
      <c r="R70" t="s">
        <v>490</v>
      </c>
    </row>
    <row r="71" spans="1:21" x14ac:dyDescent="0.4">
      <c r="A71" t="s">
        <v>89</v>
      </c>
      <c r="B71" t="s">
        <v>159</v>
      </c>
      <c r="C71">
        <v>2016</v>
      </c>
      <c r="D71" t="s">
        <v>267</v>
      </c>
      <c r="G71">
        <v>0</v>
      </c>
      <c r="H71">
        <v>500000000</v>
      </c>
      <c r="I71">
        <v>17.5</v>
      </c>
      <c r="J71">
        <v>35</v>
      </c>
      <c r="K71">
        <v>22</v>
      </c>
      <c r="L71">
        <v>20</v>
      </c>
      <c r="M71">
        <v>15</v>
      </c>
      <c r="N71">
        <v>5000</v>
      </c>
      <c r="O71">
        <v>4</v>
      </c>
      <c r="P71">
        <v>1</v>
      </c>
      <c r="R71" t="s">
        <v>491</v>
      </c>
    </row>
    <row r="72" spans="1:21" x14ac:dyDescent="0.4">
      <c r="A72" t="s">
        <v>90</v>
      </c>
      <c r="B72" t="s">
        <v>138</v>
      </c>
      <c r="C72">
        <v>2016</v>
      </c>
      <c r="D72" t="s">
        <v>268</v>
      </c>
      <c r="G72">
        <v>1</v>
      </c>
      <c r="H72">
        <v>100000000</v>
      </c>
      <c r="I72">
        <v>35</v>
      </c>
      <c r="J72">
        <v>20</v>
      </c>
      <c r="K72">
        <v>10</v>
      </c>
      <c r="L72">
        <v>10</v>
      </c>
      <c r="M72">
        <v>12</v>
      </c>
      <c r="N72">
        <v>15000</v>
      </c>
      <c r="O72">
        <v>4</v>
      </c>
      <c r="P72">
        <v>2</v>
      </c>
      <c r="R72" t="s">
        <v>492</v>
      </c>
    </row>
    <row r="73" spans="1:21" x14ac:dyDescent="0.4">
      <c r="A73" t="s">
        <v>91</v>
      </c>
      <c r="B73" t="s">
        <v>138</v>
      </c>
      <c r="C73">
        <v>2015</v>
      </c>
      <c r="D73" t="s">
        <v>269</v>
      </c>
      <c r="F73" t="s">
        <v>401</v>
      </c>
      <c r="G73">
        <v>0</v>
      </c>
      <c r="H73">
        <v>60000000</v>
      </c>
      <c r="I73">
        <v>22</v>
      </c>
      <c r="J73">
        <v>12</v>
      </c>
      <c r="K73">
        <v>9</v>
      </c>
      <c r="L73">
        <v>4</v>
      </c>
      <c r="M73">
        <v>6</v>
      </c>
      <c r="N73">
        <v>8000</v>
      </c>
      <c r="O73">
        <v>2</v>
      </c>
      <c r="P73">
        <v>1</v>
      </c>
      <c r="R73" t="s">
        <v>493</v>
      </c>
    </row>
    <row r="74" spans="1:21" x14ac:dyDescent="0.4">
      <c r="A74" t="s">
        <v>92</v>
      </c>
      <c r="B74" t="s">
        <v>181</v>
      </c>
      <c r="C74">
        <v>2015</v>
      </c>
      <c r="D74" t="s">
        <v>270</v>
      </c>
      <c r="G74">
        <v>0</v>
      </c>
      <c r="H74">
        <v>50000000</v>
      </c>
      <c r="I74">
        <v>18</v>
      </c>
      <c r="J74">
        <v>10</v>
      </c>
      <c r="K74">
        <v>9</v>
      </c>
      <c r="L74">
        <v>3</v>
      </c>
      <c r="M74">
        <v>5</v>
      </c>
      <c r="N74">
        <v>7000</v>
      </c>
      <c r="O74">
        <v>2</v>
      </c>
      <c r="P74">
        <v>1</v>
      </c>
      <c r="R74" t="s">
        <v>494</v>
      </c>
    </row>
    <row r="75" spans="1:21" x14ac:dyDescent="0.4">
      <c r="A75" t="s">
        <v>93</v>
      </c>
      <c r="B75" t="s">
        <v>182</v>
      </c>
      <c r="C75">
        <v>2021</v>
      </c>
      <c r="D75" t="s">
        <v>271</v>
      </c>
      <c r="G75">
        <v>0</v>
      </c>
      <c r="H75">
        <v>40000000</v>
      </c>
      <c r="I75">
        <v>12</v>
      </c>
      <c r="J75">
        <v>15</v>
      </c>
      <c r="K75">
        <v>5</v>
      </c>
      <c r="L75">
        <v>5</v>
      </c>
      <c r="M75">
        <v>7</v>
      </c>
      <c r="N75">
        <v>10000</v>
      </c>
      <c r="O75">
        <v>3</v>
      </c>
      <c r="P75">
        <v>2</v>
      </c>
      <c r="R75" t="s">
        <v>495</v>
      </c>
    </row>
    <row r="76" spans="1:21" x14ac:dyDescent="0.4">
      <c r="A76" t="s">
        <v>94</v>
      </c>
      <c r="B76" t="s">
        <v>183</v>
      </c>
      <c r="C76">
        <v>2015</v>
      </c>
      <c r="D76" t="s">
        <v>272</v>
      </c>
      <c r="E76" t="s">
        <v>343</v>
      </c>
      <c r="G76">
        <v>0</v>
      </c>
      <c r="H76">
        <v>60000000</v>
      </c>
      <c r="I76">
        <v>20</v>
      </c>
      <c r="J76">
        <v>15</v>
      </c>
      <c r="K76">
        <v>11</v>
      </c>
      <c r="L76">
        <v>6</v>
      </c>
      <c r="M76">
        <v>9</v>
      </c>
      <c r="N76">
        <v>12000</v>
      </c>
      <c r="O76">
        <v>3</v>
      </c>
      <c r="P76">
        <v>2</v>
      </c>
      <c r="R76" t="s">
        <v>496</v>
      </c>
    </row>
    <row r="77" spans="1:21" x14ac:dyDescent="0.4">
      <c r="A77" t="s">
        <v>95</v>
      </c>
      <c r="B77" t="s">
        <v>143</v>
      </c>
      <c r="C77">
        <v>2014</v>
      </c>
      <c r="D77" t="s">
        <v>273</v>
      </c>
      <c r="E77" t="s">
        <v>347</v>
      </c>
      <c r="G77">
        <v>1</v>
      </c>
      <c r="H77">
        <v>80000000</v>
      </c>
      <c r="I77">
        <v>25</v>
      </c>
      <c r="J77">
        <v>18</v>
      </c>
      <c r="K77">
        <v>12</v>
      </c>
      <c r="L77">
        <v>8</v>
      </c>
      <c r="M77">
        <v>11</v>
      </c>
      <c r="N77">
        <v>14000</v>
      </c>
      <c r="O77">
        <v>4</v>
      </c>
      <c r="P77">
        <v>2</v>
      </c>
      <c r="R77" t="s">
        <v>497</v>
      </c>
    </row>
    <row r="78" spans="1:21" x14ac:dyDescent="0.4">
      <c r="A78" t="s">
        <v>96</v>
      </c>
      <c r="B78" t="s">
        <v>180</v>
      </c>
      <c r="C78">
        <v>2002</v>
      </c>
      <c r="D78" t="s">
        <v>274</v>
      </c>
      <c r="G78">
        <v>2</v>
      </c>
      <c r="H78">
        <v>150000000</v>
      </c>
      <c r="I78">
        <v>32</v>
      </c>
      <c r="J78">
        <v>30</v>
      </c>
      <c r="K78">
        <v>24</v>
      </c>
      <c r="L78">
        <v>12</v>
      </c>
      <c r="M78">
        <v>18</v>
      </c>
      <c r="N78">
        <v>20000</v>
      </c>
      <c r="O78">
        <v>5</v>
      </c>
      <c r="P78">
        <v>3</v>
      </c>
      <c r="R78" t="s">
        <v>498</v>
      </c>
      <c r="U78" t="s">
        <v>553</v>
      </c>
    </row>
    <row r="79" spans="1:21" x14ac:dyDescent="0.4">
      <c r="A79" t="s">
        <v>97</v>
      </c>
      <c r="B79" t="s">
        <v>167</v>
      </c>
      <c r="C79">
        <v>1982</v>
      </c>
      <c r="G79">
        <v>3</v>
      </c>
      <c r="H79">
        <v>200000000</v>
      </c>
      <c r="I79">
        <v>38</v>
      </c>
      <c r="J79">
        <v>35</v>
      </c>
      <c r="K79">
        <v>42</v>
      </c>
      <c r="L79">
        <v>15</v>
      </c>
      <c r="M79">
        <v>20</v>
      </c>
      <c r="N79">
        <v>25000</v>
      </c>
      <c r="O79">
        <v>6</v>
      </c>
      <c r="P79">
        <v>3</v>
      </c>
      <c r="R79" t="s">
        <v>499</v>
      </c>
      <c r="U79" t="s">
        <v>554</v>
      </c>
    </row>
    <row r="80" spans="1:21" x14ac:dyDescent="0.4">
      <c r="A80" t="s">
        <v>98</v>
      </c>
      <c r="B80" t="s">
        <v>184</v>
      </c>
      <c r="C80">
        <v>2005</v>
      </c>
      <c r="D80" t="s">
        <v>275</v>
      </c>
      <c r="G80">
        <v>0</v>
      </c>
      <c r="H80">
        <v>50000000</v>
      </c>
      <c r="I80">
        <v>15</v>
      </c>
      <c r="J80">
        <v>8</v>
      </c>
      <c r="K80">
        <v>21</v>
      </c>
      <c r="L80">
        <v>4</v>
      </c>
      <c r="M80">
        <v>6</v>
      </c>
      <c r="N80">
        <v>8000</v>
      </c>
      <c r="O80">
        <v>2</v>
      </c>
      <c r="P80">
        <v>1</v>
      </c>
      <c r="R80" t="s">
        <v>500</v>
      </c>
    </row>
    <row r="81" spans="1:21" x14ac:dyDescent="0.4">
      <c r="A81" t="s">
        <v>99</v>
      </c>
      <c r="B81" t="s">
        <v>136</v>
      </c>
      <c r="C81">
        <v>2014</v>
      </c>
      <c r="D81" t="s">
        <v>276</v>
      </c>
      <c r="F81" t="s">
        <v>402</v>
      </c>
      <c r="G81">
        <v>1</v>
      </c>
      <c r="H81">
        <v>120000000</v>
      </c>
      <c r="I81">
        <v>35</v>
      </c>
      <c r="J81">
        <v>45</v>
      </c>
      <c r="K81">
        <v>10</v>
      </c>
      <c r="L81">
        <v>12</v>
      </c>
      <c r="M81">
        <v>16</v>
      </c>
      <c r="N81">
        <v>30000</v>
      </c>
      <c r="O81">
        <v>4</v>
      </c>
      <c r="P81">
        <v>3</v>
      </c>
      <c r="R81" t="s">
        <v>501</v>
      </c>
    </row>
    <row r="82" spans="1:21" x14ac:dyDescent="0.4">
      <c r="A82" t="s">
        <v>100</v>
      </c>
      <c r="B82" t="s">
        <v>159</v>
      </c>
      <c r="C82">
        <v>2005</v>
      </c>
      <c r="D82" t="s">
        <v>275</v>
      </c>
      <c r="G82">
        <v>0</v>
      </c>
      <c r="H82">
        <v>50000000</v>
      </c>
      <c r="I82">
        <v>18</v>
      </c>
      <c r="J82">
        <v>10</v>
      </c>
      <c r="K82">
        <v>21</v>
      </c>
      <c r="L82">
        <v>4</v>
      </c>
      <c r="M82">
        <v>7</v>
      </c>
      <c r="N82">
        <v>10000</v>
      </c>
      <c r="O82">
        <v>2</v>
      </c>
      <c r="P82">
        <v>1</v>
      </c>
      <c r="R82" t="s">
        <v>502</v>
      </c>
    </row>
    <row r="83" spans="1:21" x14ac:dyDescent="0.4">
      <c r="A83" t="s">
        <v>101</v>
      </c>
      <c r="B83" t="s">
        <v>185</v>
      </c>
      <c r="C83">
        <v>2014</v>
      </c>
      <c r="D83" t="s">
        <v>277</v>
      </c>
      <c r="E83" t="s">
        <v>348</v>
      </c>
      <c r="G83">
        <v>0</v>
      </c>
      <c r="H83">
        <v>40000000</v>
      </c>
      <c r="I83">
        <v>12</v>
      </c>
      <c r="J83">
        <v>12</v>
      </c>
      <c r="K83">
        <v>10</v>
      </c>
      <c r="L83">
        <v>3</v>
      </c>
      <c r="M83">
        <v>5</v>
      </c>
      <c r="N83">
        <v>8000</v>
      </c>
      <c r="O83">
        <v>2</v>
      </c>
      <c r="P83">
        <v>1</v>
      </c>
      <c r="R83" t="s">
        <v>503</v>
      </c>
    </row>
    <row r="84" spans="1:21" x14ac:dyDescent="0.4">
      <c r="A84" t="s">
        <v>102</v>
      </c>
      <c r="B84" t="s">
        <v>140</v>
      </c>
      <c r="C84">
        <v>1987</v>
      </c>
      <c r="D84" t="s">
        <v>278</v>
      </c>
      <c r="E84" t="s">
        <v>349</v>
      </c>
      <c r="G84">
        <v>2</v>
      </c>
      <c r="H84">
        <v>150000000</v>
      </c>
      <c r="I84">
        <v>30</v>
      </c>
      <c r="J84">
        <v>25</v>
      </c>
      <c r="K84">
        <v>39</v>
      </c>
      <c r="L84">
        <v>10</v>
      </c>
      <c r="M84">
        <v>14</v>
      </c>
      <c r="N84">
        <v>20000</v>
      </c>
      <c r="O84">
        <v>5</v>
      </c>
      <c r="P84">
        <v>3</v>
      </c>
      <c r="R84" t="s">
        <v>504</v>
      </c>
    </row>
    <row r="85" spans="1:21" x14ac:dyDescent="0.4">
      <c r="A85" t="s">
        <v>103</v>
      </c>
      <c r="B85" t="s">
        <v>186</v>
      </c>
      <c r="C85">
        <v>2011</v>
      </c>
      <c r="D85" t="s">
        <v>208</v>
      </c>
      <c r="G85">
        <v>0</v>
      </c>
      <c r="H85">
        <v>60000000</v>
      </c>
      <c r="I85">
        <v>20</v>
      </c>
      <c r="J85">
        <v>18</v>
      </c>
      <c r="K85">
        <v>13</v>
      </c>
      <c r="L85">
        <v>5</v>
      </c>
      <c r="M85">
        <v>9</v>
      </c>
      <c r="N85">
        <v>12000</v>
      </c>
      <c r="O85">
        <v>3</v>
      </c>
      <c r="P85">
        <v>2</v>
      </c>
      <c r="R85" t="s">
        <v>505</v>
      </c>
    </row>
    <row r="86" spans="1:21" x14ac:dyDescent="0.4">
      <c r="A86" t="s">
        <v>104</v>
      </c>
      <c r="B86" t="s">
        <v>140</v>
      </c>
      <c r="C86">
        <v>2004</v>
      </c>
      <c r="D86" t="s">
        <v>279</v>
      </c>
      <c r="G86">
        <v>3</v>
      </c>
      <c r="H86">
        <v>180000000</v>
      </c>
      <c r="I86">
        <v>35</v>
      </c>
      <c r="J86">
        <v>32</v>
      </c>
      <c r="K86">
        <v>22</v>
      </c>
      <c r="L86">
        <v>12</v>
      </c>
      <c r="M86">
        <v>16</v>
      </c>
      <c r="N86">
        <v>22000</v>
      </c>
      <c r="O86">
        <v>5</v>
      </c>
      <c r="P86">
        <v>3</v>
      </c>
      <c r="R86" t="s">
        <v>506</v>
      </c>
    </row>
    <row r="87" spans="1:21" x14ac:dyDescent="0.4">
      <c r="A87" t="s">
        <v>105</v>
      </c>
      <c r="B87" t="s">
        <v>187</v>
      </c>
      <c r="C87">
        <v>1987</v>
      </c>
      <c r="D87" t="s">
        <v>280</v>
      </c>
      <c r="G87">
        <v>4</v>
      </c>
      <c r="H87">
        <v>250000000</v>
      </c>
      <c r="I87">
        <v>40</v>
      </c>
      <c r="J87">
        <v>40</v>
      </c>
      <c r="K87">
        <v>39</v>
      </c>
      <c r="L87">
        <v>14</v>
      </c>
      <c r="M87">
        <v>20</v>
      </c>
      <c r="N87">
        <v>28000</v>
      </c>
      <c r="O87">
        <v>6</v>
      </c>
      <c r="P87">
        <v>3</v>
      </c>
      <c r="R87" t="s">
        <v>507</v>
      </c>
    </row>
    <row r="88" spans="1:21" x14ac:dyDescent="0.4">
      <c r="A88" t="s">
        <v>106</v>
      </c>
      <c r="B88" t="s">
        <v>138</v>
      </c>
      <c r="C88">
        <v>2009</v>
      </c>
      <c r="D88" t="s">
        <v>281</v>
      </c>
      <c r="E88" t="s">
        <v>350</v>
      </c>
      <c r="G88">
        <v>1</v>
      </c>
      <c r="H88">
        <v>100000000</v>
      </c>
      <c r="I88">
        <v>26</v>
      </c>
      <c r="J88">
        <v>20</v>
      </c>
      <c r="K88">
        <v>15</v>
      </c>
      <c r="L88">
        <v>8</v>
      </c>
      <c r="M88">
        <v>11</v>
      </c>
      <c r="N88">
        <v>16000</v>
      </c>
      <c r="O88">
        <v>4</v>
      </c>
      <c r="P88">
        <v>2</v>
      </c>
      <c r="R88" t="s">
        <v>508</v>
      </c>
    </row>
    <row r="89" spans="1:21" x14ac:dyDescent="0.4">
      <c r="A89" t="s">
        <v>107</v>
      </c>
      <c r="B89" t="s">
        <v>188</v>
      </c>
      <c r="C89">
        <v>2007</v>
      </c>
      <c r="D89" t="s">
        <v>282</v>
      </c>
      <c r="E89" t="s">
        <v>351</v>
      </c>
      <c r="G89">
        <v>2</v>
      </c>
      <c r="H89">
        <v>150000000</v>
      </c>
      <c r="I89">
        <v>32</v>
      </c>
      <c r="J89">
        <v>28</v>
      </c>
      <c r="K89">
        <v>17</v>
      </c>
      <c r="L89">
        <v>10</v>
      </c>
      <c r="M89">
        <v>14</v>
      </c>
      <c r="N89">
        <v>20000</v>
      </c>
      <c r="O89">
        <v>4</v>
      </c>
      <c r="P89">
        <v>3</v>
      </c>
      <c r="R89" t="s">
        <v>509</v>
      </c>
    </row>
    <row r="90" spans="1:21" x14ac:dyDescent="0.4">
      <c r="A90" t="s">
        <v>108</v>
      </c>
      <c r="B90" t="s">
        <v>153</v>
      </c>
      <c r="C90">
        <v>2012</v>
      </c>
      <c r="D90" t="s">
        <v>283</v>
      </c>
      <c r="G90">
        <v>0</v>
      </c>
      <c r="H90">
        <v>80000000</v>
      </c>
      <c r="I90">
        <v>22</v>
      </c>
      <c r="J90">
        <v>18</v>
      </c>
      <c r="K90">
        <v>12</v>
      </c>
      <c r="L90">
        <v>6</v>
      </c>
      <c r="M90">
        <v>10</v>
      </c>
      <c r="N90">
        <v>13000</v>
      </c>
      <c r="O90">
        <v>3</v>
      </c>
      <c r="P90">
        <v>2</v>
      </c>
      <c r="R90" t="s">
        <v>510</v>
      </c>
    </row>
    <row r="91" spans="1:21" x14ac:dyDescent="0.4">
      <c r="A91" t="s">
        <v>109</v>
      </c>
      <c r="B91" t="s">
        <v>189</v>
      </c>
      <c r="C91">
        <v>2008</v>
      </c>
      <c r="D91" t="s">
        <v>284</v>
      </c>
      <c r="G91">
        <v>0</v>
      </c>
      <c r="H91">
        <v>70000000</v>
      </c>
      <c r="I91">
        <v>18</v>
      </c>
      <c r="J91">
        <v>15</v>
      </c>
      <c r="K91">
        <v>16</v>
      </c>
      <c r="L91">
        <v>5</v>
      </c>
      <c r="M91">
        <v>9</v>
      </c>
      <c r="N91">
        <v>12000</v>
      </c>
      <c r="O91">
        <v>3</v>
      </c>
      <c r="P91">
        <v>2</v>
      </c>
      <c r="R91" t="s">
        <v>511</v>
      </c>
    </row>
    <row r="92" spans="1:21" x14ac:dyDescent="0.4">
      <c r="A92" t="s">
        <v>110</v>
      </c>
      <c r="B92" t="s">
        <v>138</v>
      </c>
      <c r="C92">
        <v>2003</v>
      </c>
      <c r="D92" t="s">
        <v>285</v>
      </c>
      <c r="E92" t="s">
        <v>352</v>
      </c>
      <c r="G92">
        <v>1</v>
      </c>
      <c r="H92">
        <v>90000000</v>
      </c>
      <c r="I92">
        <v>28</v>
      </c>
      <c r="J92">
        <v>22</v>
      </c>
      <c r="K92">
        <v>21</v>
      </c>
      <c r="L92">
        <v>7</v>
      </c>
      <c r="M92">
        <v>12</v>
      </c>
      <c r="N92">
        <v>16000</v>
      </c>
      <c r="O92">
        <v>4</v>
      </c>
      <c r="P92">
        <v>2</v>
      </c>
      <c r="R92" t="s">
        <v>512</v>
      </c>
      <c r="U92" t="s">
        <v>555</v>
      </c>
    </row>
    <row r="93" spans="1:21" x14ac:dyDescent="0.4">
      <c r="A93" t="s">
        <v>111</v>
      </c>
      <c r="B93" t="s">
        <v>175</v>
      </c>
      <c r="C93">
        <v>2011</v>
      </c>
      <c r="D93" t="s">
        <v>273</v>
      </c>
      <c r="G93">
        <v>0</v>
      </c>
      <c r="H93">
        <v>35000000</v>
      </c>
      <c r="I93">
        <v>10</v>
      </c>
      <c r="J93">
        <v>10</v>
      </c>
      <c r="K93">
        <v>13</v>
      </c>
      <c r="L93">
        <v>2</v>
      </c>
      <c r="M93">
        <v>4</v>
      </c>
      <c r="N93">
        <v>6000</v>
      </c>
      <c r="O93">
        <v>2</v>
      </c>
      <c r="P93">
        <v>1</v>
      </c>
      <c r="R93" t="s">
        <v>513</v>
      </c>
    </row>
    <row r="94" spans="1:21" x14ac:dyDescent="0.4">
      <c r="A94" t="s">
        <v>112</v>
      </c>
      <c r="B94" t="s">
        <v>181</v>
      </c>
      <c r="C94">
        <v>2015</v>
      </c>
      <c r="D94" t="s">
        <v>286</v>
      </c>
      <c r="G94">
        <v>0</v>
      </c>
      <c r="H94">
        <v>70000000</v>
      </c>
      <c r="I94">
        <v>20</v>
      </c>
      <c r="J94">
        <v>15</v>
      </c>
      <c r="K94">
        <v>11</v>
      </c>
      <c r="L94">
        <v>5</v>
      </c>
      <c r="M94">
        <v>8</v>
      </c>
      <c r="N94">
        <v>11000</v>
      </c>
      <c r="O94">
        <v>3</v>
      </c>
      <c r="P94">
        <v>2</v>
      </c>
      <c r="R94" t="s">
        <v>514</v>
      </c>
    </row>
    <row r="95" spans="1:21" x14ac:dyDescent="0.4">
      <c r="A95" t="s">
        <v>113</v>
      </c>
      <c r="B95" t="s">
        <v>138</v>
      </c>
      <c r="C95">
        <v>2010</v>
      </c>
      <c r="D95" t="s">
        <v>287</v>
      </c>
      <c r="E95" t="s">
        <v>353</v>
      </c>
      <c r="G95">
        <v>2</v>
      </c>
      <c r="H95">
        <v>130000000</v>
      </c>
      <c r="I95">
        <v>30</v>
      </c>
      <c r="J95">
        <v>28</v>
      </c>
      <c r="K95">
        <v>14</v>
      </c>
      <c r="L95">
        <v>9</v>
      </c>
      <c r="M95">
        <v>13</v>
      </c>
      <c r="N95">
        <v>18000</v>
      </c>
      <c r="O95">
        <v>4</v>
      </c>
      <c r="P95">
        <v>2</v>
      </c>
      <c r="R95" t="s">
        <v>515</v>
      </c>
      <c r="U95" t="s">
        <v>556</v>
      </c>
    </row>
    <row r="96" spans="1:21" x14ac:dyDescent="0.4">
      <c r="A96" t="s">
        <v>114</v>
      </c>
      <c r="B96" t="s">
        <v>159</v>
      </c>
      <c r="C96">
        <v>2006</v>
      </c>
      <c r="D96" t="s">
        <v>288</v>
      </c>
      <c r="E96" t="s">
        <v>354</v>
      </c>
      <c r="G96">
        <v>1</v>
      </c>
      <c r="H96">
        <v>120000000</v>
      </c>
      <c r="I96">
        <v>28</v>
      </c>
      <c r="J96">
        <v>25</v>
      </c>
      <c r="K96">
        <v>18</v>
      </c>
      <c r="L96">
        <v>8</v>
      </c>
      <c r="M96">
        <v>12</v>
      </c>
      <c r="N96">
        <v>16000</v>
      </c>
      <c r="O96">
        <v>4</v>
      </c>
      <c r="P96">
        <v>2</v>
      </c>
      <c r="R96" t="s">
        <v>516</v>
      </c>
    </row>
    <row r="97" spans="1:21" x14ac:dyDescent="0.4">
      <c r="A97" t="s">
        <v>115</v>
      </c>
      <c r="B97" t="s">
        <v>190</v>
      </c>
      <c r="C97">
        <v>2022</v>
      </c>
      <c r="D97" t="s">
        <v>289</v>
      </c>
      <c r="E97" t="s">
        <v>355</v>
      </c>
      <c r="F97" t="s">
        <v>403</v>
      </c>
      <c r="G97">
        <v>12</v>
      </c>
      <c r="H97">
        <v>200000000</v>
      </c>
      <c r="I97">
        <v>48</v>
      </c>
      <c r="J97">
        <v>40</v>
      </c>
      <c r="K97">
        <v>4</v>
      </c>
      <c r="L97">
        <v>10</v>
      </c>
      <c r="M97">
        <v>15</v>
      </c>
      <c r="N97">
        <v>20000</v>
      </c>
      <c r="O97">
        <v>4</v>
      </c>
      <c r="P97">
        <v>3</v>
      </c>
      <c r="R97" t="s">
        <v>517</v>
      </c>
      <c r="U97" t="s">
        <v>540</v>
      </c>
    </row>
    <row r="98" spans="1:21" x14ac:dyDescent="0.4">
      <c r="A98" t="s">
        <v>116</v>
      </c>
      <c r="B98" t="s">
        <v>164</v>
      </c>
      <c r="C98">
        <v>2020</v>
      </c>
      <c r="D98" t="s">
        <v>290</v>
      </c>
      <c r="E98" t="s">
        <v>356</v>
      </c>
      <c r="F98" t="s">
        <v>404</v>
      </c>
      <c r="G98">
        <v>1</v>
      </c>
      <c r="H98">
        <v>200000000</v>
      </c>
      <c r="I98">
        <v>36</v>
      </c>
      <c r="J98">
        <v>25</v>
      </c>
      <c r="K98">
        <v>6</v>
      </c>
      <c r="L98">
        <v>12</v>
      </c>
      <c r="M98">
        <v>10</v>
      </c>
      <c r="N98">
        <v>18000</v>
      </c>
      <c r="O98">
        <v>4</v>
      </c>
      <c r="P98">
        <v>3</v>
      </c>
      <c r="R98" t="s">
        <v>518</v>
      </c>
      <c r="U98" t="s">
        <v>540</v>
      </c>
    </row>
    <row r="99" spans="1:21" x14ac:dyDescent="0.4">
      <c r="A99" t="s">
        <v>117</v>
      </c>
      <c r="B99" t="s">
        <v>191</v>
      </c>
      <c r="C99">
        <v>2015</v>
      </c>
      <c r="D99" t="s">
        <v>291</v>
      </c>
      <c r="E99" t="s">
        <v>357</v>
      </c>
      <c r="F99" t="s">
        <v>405</v>
      </c>
      <c r="G99">
        <v>17</v>
      </c>
      <c r="H99">
        <v>2000000000</v>
      </c>
      <c r="I99">
        <v>62</v>
      </c>
      <c r="J99">
        <v>120</v>
      </c>
      <c r="K99">
        <v>11</v>
      </c>
      <c r="L99">
        <v>30</v>
      </c>
      <c r="M99">
        <v>45</v>
      </c>
      <c r="N99">
        <v>70000</v>
      </c>
      <c r="O99">
        <v>8</v>
      </c>
      <c r="P99">
        <v>10</v>
      </c>
      <c r="R99" t="s">
        <v>519</v>
      </c>
      <c r="U99" t="s">
        <v>557</v>
      </c>
    </row>
    <row r="100" spans="1:21" x14ac:dyDescent="0.4">
      <c r="A100" t="s">
        <v>118</v>
      </c>
      <c r="B100" t="s">
        <v>147</v>
      </c>
      <c r="C100">
        <v>2015</v>
      </c>
      <c r="D100" t="s">
        <v>292</v>
      </c>
      <c r="E100" t="s">
        <v>358</v>
      </c>
      <c r="F100" t="s">
        <v>406</v>
      </c>
      <c r="G100">
        <v>5</v>
      </c>
      <c r="H100">
        <v>300000000</v>
      </c>
      <c r="I100">
        <v>45</v>
      </c>
      <c r="J100">
        <v>50</v>
      </c>
      <c r="K100">
        <v>9</v>
      </c>
      <c r="L100">
        <v>15</v>
      </c>
      <c r="M100">
        <v>20</v>
      </c>
      <c r="N100">
        <v>30000</v>
      </c>
      <c r="O100">
        <v>5</v>
      </c>
      <c r="P100">
        <v>4</v>
      </c>
      <c r="R100" t="s">
        <v>520</v>
      </c>
      <c r="U100" t="s">
        <v>546</v>
      </c>
    </row>
    <row r="101" spans="1:21" x14ac:dyDescent="0.4">
      <c r="A101" t="s">
        <v>119</v>
      </c>
      <c r="B101" t="s">
        <v>166</v>
      </c>
      <c r="C101">
        <v>2004</v>
      </c>
      <c r="D101" t="s">
        <v>293</v>
      </c>
      <c r="E101" t="s">
        <v>359</v>
      </c>
      <c r="F101" t="s">
        <v>407</v>
      </c>
      <c r="G101">
        <v>8</v>
      </c>
      <c r="H101">
        <v>942000000</v>
      </c>
      <c r="I101">
        <v>70</v>
      </c>
      <c r="J101">
        <v>85</v>
      </c>
      <c r="K101">
        <v>20</v>
      </c>
      <c r="L101">
        <v>35</v>
      </c>
      <c r="M101">
        <v>50</v>
      </c>
      <c r="N101">
        <v>70000</v>
      </c>
      <c r="O101">
        <v>9</v>
      </c>
      <c r="P101">
        <v>9</v>
      </c>
      <c r="R101" t="s">
        <v>521</v>
      </c>
      <c r="U101" t="s">
        <v>540</v>
      </c>
    </row>
    <row r="102" spans="1:21" x14ac:dyDescent="0.4">
      <c r="A102" t="s">
        <v>120</v>
      </c>
      <c r="B102" t="s">
        <v>192</v>
      </c>
      <c r="C102">
        <v>2015</v>
      </c>
      <c r="D102" t="s">
        <v>294</v>
      </c>
      <c r="E102" t="s">
        <v>360</v>
      </c>
      <c r="F102" t="s">
        <v>408</v>
      </c>
      <c r="G102">
        <v>15</v>
      </c>
      <c r="H102">
        <v>500000000</v>
      </c>
      <c r="I102">
        <v>55</v>
      </c>
      <c r="J102">
        <v>82</v>
      </c>
      <c r="K102">
        <v>11</v>
      </c>
      <c r="L102">
        <v>18</v>
      </c>
      <c r="M102">
        <v>25</v>
      </c>
      <c r="N102">
        <v>35000</v>
      </c>
      <c r="O102">
        <v>7</v>
      </c>
      <c r="P102">
        <v>5</v>
      </c>
      <c r="R102" t="s">
        <v>522</v>
      </c>
      <c r="U102" t="s">
        <v>546</v>
      </c>
    </row>
    <row r="103" spans="1:21" x14ac:dyDescent="0.4">
      <c r="A103" t="s">
        <v>121</v>
      </c>
      <c r="B103" t="s">
        <v>193</v>
      </c>
      <c r="C103">
        <v>2016</v>
      </c>
      <c r="D103" t="s">
        <v>295</v>
      </c>
      <c r="E103" t="s">
        <v>361</v>
      </c>
      <c r="F103" t="s">
        <v>409</v>
      </c>
      <c r="G103">
        <v>1</v>
      </c>
      <c r="H103">
        <v>120000000</v>
      </c>
      <c r="I103">
        <v>30</v>
      </c>
      <c r="J103">
        <v>25</v>
      </c>
      <c r="K103">
        <v>10</v>
      </c>
      <c r="L103">
        <v>10</v>
      </c>
      <c r="M103">
        <v>15</v>
      </c>
      <c r="N103">
        <v>18000</v>
      </c>
      <c r="O103">
        <v>5</v>
      </c>
      <c r="P103">
        <v>3</v>
      </c>
      <c r="R103" t="s">
        <v>523</v>
      </c>
    </row>
    <row r="104" spans="1:21" x14ac:dyDescent="0.4">
      <c r="A104" t="s">
        <v>122</v>
      </c>
      <c r="B104" t="s">
        <v>180</v>
      </c>
      <c r="C104">
        <v>2017</v>
      </c>
      <c r="D104" t="s">
        <v>296</v>
      </c>
      <c r="E104" t="s">
        <v>362</v>
      </c>
      <c r="F104" t="s">
        <v>410</v>
      </c>
      <c r="G104">
        <v>0</v>
      </c>
      <c r="H104">
        <v>80000000</v>
      </c>
      <c r="I104">
        <v>20</v>
      </c>
      <c r="J104">
        <v>18</v>
      </c>
      <c r="K104">
        <v>7</v>
      </c>
      <c r="L104">
        <v>6</v>
      </c>
      <c r="M104">
        <v>10</v>
      </c>
      <c r="N104">
        <v>12000</v>
      </c>
      <c r="O104">
        <v>3</v>
      </c>
      <c r="P104">
        <v>2</v>
      </c>
      <c r="R104" t="s">
        <v>524</v>
      </c>
    </row>
    <row r="105" spans="1:21" x14ac:dyDescent="0.4">
      <c r="A105" t="s">
        <v>123</v>
      </c>
      <c r="B105" t="s">
        <v>191</v>
      </c>
      <c r="C105">
        <v>2017</v>
      </c>
      <c r="D105" t="s">
        <v>297</v>
      </c>
      <c r="E105" t="s">
        <v>363</v>
      </c>
      <c r="F105" t="s">
        <v>411</v>
      </c>
      <c r="G105">
        <v>0</v>
      </c>
      <c r="H105">
        <v>70000000</v>
      </c>
      <c r="I105">
        <v>18</v>
      </c>
      <c r="J105">
        <v>15</v>
      </c>
      <c r="K105">
        <v>7</v>
      </c>
      <c r="L105">
        <v>5</v>
      </c>
      <c r="M105">
        <v>9</v>
      </c>
      <c r="N105">
        <v>10000</v>
      </c>
      <c r="O105">
        <v>3</v>
      </c>
      <c r="P105">
        <v>2</v>
      </c>
      <c r="R105" t="s">
        <v>525</v>
      </c>
    </row>
    <row r="106" spans="1:21" x14ac:dyDescent="0.4">
      <c r="A106" t="s">
        <v>124</v>
      </c>
      <c r="B106" t="s">
        <v>191</v>
      </c>
      <c r="C106">
        <v>2015</v>
      </c>
      <c r="D106" t="s">
        <v>298</v>
      </c>
      <c r="E106" t="s">
        <v>364</v>
      </c>
      <c r="F106" t="s">
        <v>412</v>
      </c>
      <c r="G106">
        <v>6</v>
      </c>
      <c r="H106">
        <v>600000000</v>
      </c>
      <c r="I106">
        <v>58</v>
      </c>
      <c r="J106">
        <v>70</v>
      </c>
      <c r="K106">
        <v>9</v>
      </c>
      <c r="L106">
        <v>20</v>
      </c>
      <c r="M106">
        <v>30</v>
      </c>
      <c r="N106">
        <v>50000</v>
      </c>
      <c r="O106">
        <v>7</v>
      </c>
      <c r="P106">
        <v>4</v>
      </c>
      <c r="R106" t="s">
        <v>526</v>
      </c>
      <c r="U106" t="s">
        <v>558</v>
      </c>
    </row>
    <row r="107" spans="1:21" x14ac:dyDescent="0.4">
      <c r="A107" t="s">
        <v>125</v>
      </c>
      <c r="B107" t="s">
        <v>194</v>
      </c>
      <c r="C107">
        <v>2016</v>
      </c>
      <c r="D107" t="s">
        <v>299</v>
      </c>
      <c r="E107" t="s">
        <v>365</v>
      </c>
      <c r="F107" t="s">
        <v>413</v>
      </c>
      <c r="G107">
        <v>1</v>
      </c>
      <c r="H107">
        <v>100000000</v>
      </c>
      <c r="I107">
        <v>25</v>
      </c>
      <c r="J107">
        <v>20</v>
      </c>
      <c r="K107">
        <v>8</v>
      </c>
      <c r="L107">
        <v>8</v>
      </c>
      <c r="M107">
        <v>12</v>
      </c>
      <c r="N107">
        <v>15000</v>
      </c>
      <c r="O107">
        <v>4</v>
      </c>
      <c r="P107">
        <v>2</v>
      </c>
      <c r="R107" t="s">
        <v>527</v>
      </c>
    </row>
    <row r="108" spans="1:21" x14ac:dyDescent="0.4">
      <c r="A108" t="s">
        <v>126</v>
      </c>
      <c r="B108" t="s">
        <v>195</v>
      </c>
      <c r="C108">
        <v>2018</v>
      </c>
      <c r="D108" t="s">
        <v>300</v>
      </c>
      <c r="E108" t="s">
        <v>366</v>
      </c>
      <c r="F108" t="s">
        <v>414</v>
      </c>
      <c r="G108">
        <v>0</v>
      </c>
      <c r="H108">
        <v>60000000</v>
      </c>
      <c r="I108">
        <v>18</v>
      </c>
      <c r="J108">
        <v>12</v>
      </c>
      <c r="K108">
        <v>6</v>
      </c>
      <c r="L108">
        <v>4</v>
      </c>
      <c r="M108">
        <v>8</v>
      </c>
      <c r="N108">
        <v>9000</v>
      </c>
      <c r="O108">
        <v>3</v>
      </c>
      <c r="P108">
        <v>1</v>
      </c>
      <c r="R108" t="s">
        <v>528</v>
      </c>
    </row>
    <row r="109" spans="1:21" x14ac:dyDescent="0.4">
      <c r="A109" t="s">
        <v>127</v>
      </c>
      <c r="B109" t="s">
        <v>196</v>
      </c>
      <c r="C109">
        <v>2018</v>
      </c>
      <c r="D109" t="s">
        <v>301</v>
      </c>
      <c r="E109" t="s">
        <v>367</v>
      </c>
      <c r="F109" t="s">
        <v>415</v>
      </c>
      <c r="G109">
        <v>0</v>
      </c>
      <c r="H109">
        <v>50000000</v>
      </c>
      <c r="I109">
        <v>15</v>
      </c>
      <c r="J109">
        <v>12</v>
      </c>
      <c r="K109">
        <v>6</v>
      </c>
      <c r="L109">
        <v>4</v>
      </c>
      <c r="M109">
        <v>7</v>
      </c>
      <c r="N109">
        <v>8000</v>
      </c>
      <c r="O109">
        <v>2</v>
      </c>
      <c r="P109">
        <v>2</v>
      </c>
      <c r="R109" t="s">
        <v>529</v>
      </c>
    </row>
    <row r="110" spans="1:21" x14ac:dyDescent="0.4">
      <c r="A110" t="s">
        <v>128</v>
      </c>
      <c r="B110" t="s">
        <v>197</v>
      </c>
      <c r="C110">
        <v>2024</v>
      </c>
      <c r="D110" t="s">
        <v>302</v>
      </c>
      <c r="E110" t="s">
        <v>368</v>
      </c>
      <c r="F110" t="s">
        <v>416</v>
      </c>
      <c r="G110">
        <v>0</v>
      </c>
      <c r="H110">
        <v>40000000</v>
      </c>
      <c r="I110">
        <v>12</v>
      </c>
      <c r="J110">
        <v>10</v>
      </c>
      <c r="K110">
        <v>2</v>
      </c>
      <c r="L110">
        <v>4</v>
      </c>
      <c r="M110">
        <v>6</v>
      </c>
      <c r="N110">
        <v>7000</v>
      </c>
      <c r="O110">
        <v>2</v>
      </c>
      <c r="P110">
        <v>1</v>
      </c>
      <c r="R110" t="s">
        <v>530</v>
      </c>
    </row>
    <row r="111" spans="1:21" x14ac:dyDescent="0.4">
      <c r="A111" t="s">
        <v>129</v>
      </c>
      <c r="B111" t="s">
        <v>198</v>
      </c>
      <c r="C111">
        <v>2017</v>
      </c>
      <c r="D111" t="s">
        <v>303</v>
      </c>
      <c r="E111" t="s">
        <v>369</v>
      </c>
      <c r="F111" t="s">
        <v>394</v>
      </c>
      <c r="G111">
        <v>0</v>
      </c>
      <c r="H111">
        <v>60000000</v>
      </c>
      <c r="I111">
        <v>18</v>
      </c>
      <c r="J111">
        <v>14</v>
      </c>
      <c r="K111">
        <v>6</v>
      </c>
      <c r="L111">
        <v>5</v>
      </c>
      <c r="M111">
        <v>8</v>
      </c>
      <c r="N111">
        <v>10000</v>
      </c>
      <c r="O111">
        <v>3</v>
      </c>
      <c r="P111">
        <v>2</v>
      </c>
      <c r="R111" t="s">
        <v>531</v>
      </c>
    </row>
    <row r="112" spans="1:21" x14ac:dyDescent="0.4">
      <c r="A112" t="s">
        <v>130</v>
      </c>
      <c r="B112" t="s">
        <v>199</v>
      </c>
      <c r="C112">
        <v>2018</v>
      </c>
      <c r="D112" t="s">
        <v>304</v>
      </c>
      <c r="E112" t="s">
        <v>370</v>
      </c>
      <c r="F112" t="s">
        <v>417</v>
      </c>
      <c r="G112">
        <v>0</v>
      </c>
      <c r="H112">
        <v>50000000</v>
      </c>
      <c r="I112">
        <v>15</v>
      </c>
      <c r="J112">
        <v>12</v>
      </c>
      <c r="K112">
        <v>5</v>
      </c>
      <c r="L112">
        <v>4</v>
      </c>
      <c r="M112">
        <v>7</v>
      </c>
      <c r="N112">
        <v>9000</v>
      </c>
      <c r="O112">
        <v>2</v>
      </c>
      <c r="P112">
        <v>2</v>
      </c>
      <c r="R112" t="s">
        <v>532</v>
      </c>
    </row>
    <row r="113" spans="1:18" x14ac:dyDescent="0.4">
      <c r="A113" t="s">
        <v>131</v>
      </c>
      <c r="B113" t="s">
        <v>200</v>
      </c>
      <c r="C113">
        <v>2018</v>
      </c>
      <c r="D113" t="s">
        <v>305</v>
      </c>
      <c r="E113" t="s">
        <v>371</v>
      </c>
      <c r="F113" t="s">
        <v>418</v>
      </c>
      <c r="G113">
        <v>0</v>
      </c>
      <c r="H113">
        <v>45000000</v>
      </c>
      <c r="I113">
        <v>12</v>
      </c>
      <c r="J113">
        <v>10</v>
      </c>
      <c r="K113">
        <v>6</v>
      </c>
      <c r="L113">
        <v>3</v>
      </c>
      <c r="M113">
        <v>6</v>
      </c>
      <c r="N113">
        <v>8000</v>
      </c>
      <c r="O113">
        <v>2</v>
      </c>
      <c r="P113">
        <v>1</v>
      </c>
      <c r="R113" t="s">
        <v>533</v>
      </c>
    </row>
    <row r="114" spans="1:18" x14ac:dyDescent="0.4">
      <c r="A114" t="s">
        <v>132</v>
      </c>
      <c r="B114" t="s">
        <v>201</v>
      </c>
      <c r="C114">
        <v>2017</v>
      </c>
      <c r="D114" t="s">
        <v>306</v>
      </c>
      <c r="E114" t="s">
        <v>372</v>
      </c>
      <c r="F114" t="s">
        <v>419</v>
      </c>
      <c r="G114">
        <v>0</v>
      </c>
      <c r="H114">
        <v>70000000</v>
      </c>
      <c r="I114">
        <v>20</v>
      </c>
      <c r="J114">
        <v>15</v>
      </c>
      <c r="K114">
        <v>7</v>
      </c>
      <c r="L114">
        <v>5</v>
      </c>
      <c r="M114">
        <v>9</v>
      </c>
      <c r="N114">
        <v>11000</v>
      </c>
      <c r="O114">
        <v>3</v>
      </c>
      <c r="P114">
        <v>2</v>
      </c>
      <c r="R114" t="s">
        <v>534</v>
      </c>
    </row>
    <row r="115" spans="1:18" x14ac:dyDescent="0.4">
      <c r="A115" t="s">
        <v>133</v>
      </c>
      <c r="B115" t="s">
        <v>202</v>
      </c>
      <c r="C115">
        <v>2020</v>
      </c>
      <c r="D115" t="s">
        <v>307</v>
      </c>
      <c r="E115" t="s">
        <v>373</v>
      </c>
      <c r="F115" t="s">
        <v>420</v>
      </c>
      <c r="G115">
        <v>1</v>
      </c>
      <c r="H115">
        <v>100000000</v>
      </c>
      <c r="I115">
        <v>25</v>
      </c>
      <c r="J115">
        <v>20</v>
      </c>
      <c r="K115">
        <v>6</v>
      </c>
      <c r="L115">
        <v>7</v>
      </c>
      <c r="M115">
        <v>11</v>
      </c>
      <c r="N115">
        <v>14000</v>
      </c>
      <c r="O115">
        <v>4</v>
      </c>
      <c r="P115">
        <v>3</v>
      </c>
      <c r="R115" t="s">
        <v>535</v>
      </c>
    </row>
    <row r="116" spans="1:18" x14ac:dyDescent="0.4">
      <c r="A116" t="s">
        <v>134</v>
      </c>
      <c r="B116" t="s">
        <v>203</v>
      </c>
      <c r="C116">
        <v>2020</v>
      </c>
      <c r="D116" t="s">
        <v>308</v>
      </c>
      <c r="E116" t="s">
        <v>374</v>
      </c>
      <c r="F116" t="s">
        <v>421</v>
      </c>
      <c r="G116">
        <v>0</v>
      </c>
      <c r="H116">
        <v>50000000</v>
      </c>
      <c r="I116">
        <v>15</v>
      </c>
      <c r="J116">
        <v>12</v>
      </c>
      <c r="K116">
        <v>6</v>
      </c>
      <c r="L116">
        <v>5</v>
      </c>
      <c r="M116">
        <v>8</v>
      </c>
      <c r="N116">
        <v>10000</v>
      </c>
      <c r="O116">
        <v>3</v>
      </c>
      <c r="P116">
        <v>2</v>
      </c>
      <c r="R116" t="s">
        <v>531</v>
      </c>
    </row>
    <row r="117" spans="1:18" x14ac:dyDescent="0.4">
      <c r="A117" t="s">
        <v>135</v>
      </c>
      <c r="B117" t="s">
        <v>204</v>
      </c>
      <c r="C117">
        <v>2019</v>
      </c>
      <c r="D117" t="s">
        <v>309</v>
      </c>
      <c r="E117" t="s">
        <v>375</v>
      </c>
      <c r="F117" t="s">
        <v>422</v>
      </c>
      <c r="G117">
        <v>0</v>
      </c>
      <c r="H117">
        <v>60000000</v>
      </c>
      <c r="I117">
        <v>18</v>
      </c>
      <c r="J117">
        <v>15</v>
      </c>
      <c r="K117">
        <v>5</v>
      </c>
      <c r="L117">
        <v>6</v>
      </c>
      <c r="M117">
        <v>10</v>
      </c>
      <c r="N117">
        <v>12000</v>
      </c>
      <c r="O117">
        <v>3</v>
      </c>
      <c r="P117">
        <v>2</v>
      </c>
      <c r="R117" t="s">
        <v>536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9279-08FF-42F2-9AEE-6BF4A628BE61}">
  <dimension ref="A1:X117"/>
  <sheetViews>
    <sheetView zoomScale="70" zoomScaleNormal="70" workbookViewId="0">
      <selection activeCell="A13" sqref="A13"/>
    </sheetView>
  </sheetViews>
  <sheetFormatPr defaultRowHeight="14.6" x14ac:dyDescent="0.4"/>
  <cols>
    <col min="1" max="1" width="79.23046875" bestFit="1" customWidth="1"/>
    <col min="2" max="2" width="25.3828125" bestFit="1" customWidth="1"/>
    <col min="3" max="3" width="35.23046875" bestFit="1" customWidth="1"/>
    <col min="4" max="4" width="52.53515625" bestFit="1" customWidth="1"/>
    <col min="5" max="5" width="31.53515625" bestFit="1" customWidth="1"/>
    <col min="6" max="6" width="35.07421875" bestFit="1" customWidth="1"/>
    <col min="7" max="7" width="31.3046875" bestFit="1" customWidth="1"/>
    <col min="8" max="8" width="26.61328125" bestFit="1" customWidth="1"/>
    <col min="9" max="9" width="34.15234375" bestFit="1" customWidth="1"/>
    <col min="10" max="10" width="26.84375" bestFit="1" customWidth="1"/>
    <col min="11" max="12" width="42.765625" customWidth="1"/>
    <col min="14" max="14" width="9.23046875" style="2"/>
    <col min="16" max="16" width="24.3828125" bestFit="1" customWidth="1"/>
  </cols>
  <sheetData>
    <row r="1" spans="1:24" x14ac:dyDescent="0.4">
      <c r="A1" s="1" t="s">
        <v>0</v>
      </c>
      <c r="B1" t="s">
        <v>559</v>
      </c>
      <c r="C1" t="s">
        <v>560</v>
      </c>
      <c r="D1" t="s">
        <v>561</v>
      </c>
      <c r="E1" t="s">
        <v>562</v>
      </c>
      <c r="F1" t="s">
        <v>563</v>
      </c>
      <c r="G1" t="s">
        <v>564</v>
      </c>
      <c r="H1" t="s">
        <v>565</v>
      </c>
      <c r="I1" t="s">
        <v>566</v>
      </c>
      <c r="J1" t="s">
        <v>567</v>
      </c>
      <c r="K1" t="s">
        <v>568</v>
      </c>
      <c r="L1" s="1" t="s">
        <v>569</v>
      </c>
      <c r="O1" s="1" t="s">
        <v>6</v>
      </c>
      <c r="P1" s="1" t="s">
        <v>7</v>
      </c>
      <c r="Q1" s="1" t="s">
        <v>8</v>
      </c>
      <c r="R1" s="1" t="s">
        <v>9</v>
      </c>
      <c r="S1" s="1" t="s">
        <v>10</v>
      </c>
      <c r="T1" s="1" t="s">
        <v>11</v>
      </c>
      <c r="U1" s="1" t="s">
        <v>12</v>
      </c>
      <c r="V1" s="1" t="s">
        <v>13</v>
      </c>
      <c r="W1" s="1" t="s">
        <v>14</v>
      </c>
      <c r="X1" s="1" t="s">
        <v>15</v>
      </c>
    </row>
    <row r="2" spans="1:24" x14ac:dyDescent="0.4">
      <c r="A2" t="s">
        <v>20</v>
      </c>
      <c r="B2">
        <v>0</v>
      </c>
      <c r="C2">
        <v>1.535380507343124E-2</v>
      </c>
      <c r="D2">
        <v>9.6000000000000002E-2</v>
      </c>
      <c r="E2">
        <v>0.2975206611570248</v>
      </c>
      <c r="F2">
        <v>0.35555555555555562</v>
      </c>
      <c r="G2">
        <v>0.1326530612244898</v>
      </c>
      <c r="H2">
        <v>8.4249084249084255E-2</v>
      </c>
      <c r="I2">
        <v>1</v>
      </c>
      <c r="J2">
        <v>0.42857142857142849</v>
      </c>
      <c r="K2">
        <v>0</v>
      </c>
      <c r="L2">
        <f>(B2*15%+C2*12%+D2*12%+E2*12%+F2*8%+G2*10%+H2*10%+I2*8%+J2*7%+K2*6%)*100</f>
        <v>20.919959493945658</v>
      </c>
      <c r="O2">
        <v>0</v>
      </c>
      <c r="P2">
        <v>250000000</v>
      </c>
      <c r="Q2">
        <v>13.5</v>
      </c>
      <c r="R2">
        <v>80</v>
      </c>
      <c r="S2">
        <v>18</v>
      </c>
      <c r="T2">
        <v>15</v>
      </c>
      <c r="U2">
        <v>50</v>
      </c>
      <c r="V2">
        <v>175000</v>
      </c>
      <c r="W2">
        <v>5</v>
      </c>
      <c r="X2">
        <v>1</v>
      </c>
    </row>
    <row r="3" spans="1:24" x14ac:dyDescent="0.4">
      <c r="A3" t="s">
        <v>21</v>
      </c>
      <c r="B3">
        <v>2.222222222222222E-2</v>
      </c>
      <c r="C3">
        <v>8.678237650200267E-3</v>
      </c>
      <c r="D3">
        <v>0.39200000000000002</v>
      </c>
      <c r="E3">
        <v>0.1735537190082645</v>
      </c>
      <c r="F3">
        <v>0.35555555555555562</v>
      </c>
      <c r="G3">
        <v>8.1632653061224483E-2</v>
      </c>
      <c r="H3">
        <v>3.8461538461538457E-2</v>
      </c>
      <c r="I3">
        <v>0.14899713467048711</v>
      </c>
      <c r="J3">
        <v>0.5714285714285714</v>
      </c>
      <c r="K3">
        <v>0.22222222222222221</v>
      </c>
      <c r="L3">
        <f t="shared" ref="L3:L66" si="0">(B3*15%+C3*12%+D3*12%+E3*12%+F3*8%+G3*10%+H3*10%+I3*8%+J3*7%+K3*6%)*100</f>
        <v>17.794813583604217</v>
      </c>
      <c r="O3">
        <v>1</v>
      </c>
      <c r="P3">
        <v>150000000</v>
      </c>
      <c r="Q3">
        <v>32</v>
      </c>
      <c r="R3">
        <v>50</v>
      </c>
      <c r="S3">
        <v>18</v>
      </c>
      <c r="T3">
        <v>10</v>
      </c>
      <c r="U3">
        <v>25</v>
      </c>
      <c r="V3">
        <v>26500</v>
      </c>
      <c r="W3">
        <v>6</v>
      </c>
      <c r="X3">
        <v>3</v>
      </c>
    </row>
    <row r="4" spans="1:24" x14ac:dyDescent="0.4">
      <c r="A4" t="s">
        <v>22</v>
      </c>
      <c r="B4">
        <v>0</v>
      </c>
      <c r="C4">
        <v>1.068090787716956E-3</v>
      </c>
      <c r="D4">
        <v>0.16</v>
      </c>
      <c r="E4">
        <v>0.13223140495867769</v>
      </c>
      <c r="F4">
        <v>0.37777777777777782</v>
      </c>
      <c r="G4">
        <v>1.020408163265306E-2</v>
      </c>
      <c r="H4">
        <v>1.8315018315018319E-3</v>
      </c>
      <c r="I4">
        <v>8.3094555873925502E-2</v>
      </c>
      <c r="J4">
        <v>0.2857142857142857</v>
      </c>
      <c r="K4">
        <v>0</v>
      </c>
      <c r="L4">
        <f t="shared" si="0"/>
        <v>9.3269284528119094</v>
      </c>
      <c r="O4">
        <v>0</v>
      </c>
      <c r="P4">
        <v>36000000</v>
      </c>
      <c r="Q4">
        <v>17.5</v>
      </c>
      <c r="R4">
        <v>40</v>
      </c>
      <c r="S4">
        <v>19</v>
      </c>
      <c r="T4">
        <v>3</v>
      </c>
      <c r="U4">
        <v>5</v>
      </c>
      <c r="V4">
        <v>15000</v>
      </c>
      <c r="W4">
        <v>4</v>
      </c>
      <c r="X4">
        <v>1</v>
      </c>
    </row>
    <row r="5" spans="1:24" x14ac:dyDescent="0.4">
      <c r="A5" t="s">
        <v>23</v>
      </c>
      <c r="B5">
        <v>0</v>
      </c>
      <c r="C5">
        <v>1.0013351134846461E-3</v>
      </c>
      <c r="D5">
        <v>0.04</v>
      </c>
      <c r="E5">
        <v>0.15289256198347109</v>
      </c>
      <c r="F5">
        <v>0.28888888888888892</v>
      </c>
      <c r="G5">
        <v>6.1224489795918373E-2</v>
      </c>
      <c r="H5">
        <v>1.098901098901099E-2</v>
      </c>
      <c r="I5">
        <v>0.1060171919770774</v>
      </c>
      <c r="J5">
        <v>0.42857142857142849</v>
      </c>
      <c r="K5">
        <v>0</v>
      </c>
      <c r="L5">
        <f t="shared" si="0"/>
        <v>9.2081104199404926</v>
      </c>
      <c r="O5">
        <v>0</v>
      </c>
      <c r="P5">
        <v>35000000</v>
      </c>
      <c r="Q5">
        <v>10</v>
      </c>
      <c r="R5">
        <v>45</v>
      </c>
      <c r="S5">
        <v>15</v>
      </c>
      <c r="T5">
        <v>8</v>
      </c>
      <c r="U5">
        <v>10</v>
      </c>
      <c r="V5">
        <v>19000</v>
      </c>
      <c r="W5">
        <v>5</v>
      </c>
      <c r="X5">
        <v>1</v>
      </c>
    </row>
    <row r="6" spans="1:24" x14ac:dyDescent="0.4">
      <c r="A6" t="s">
        <v>24</v>
      </c>
      <c r="B6">
        <v>0.1111111111111111</v>
      </c>
      <c r="C6">
        <v>5.2069425901201602E-2</v>
      </c>
      <c r="D6">
        <v>0.92</v>
      </c>
      <c r="E6">
        <v>0.2975206611570248</v>
      </c>
      <c r="F6">
        <v>0.33333333333333331</v>
      </c>
      <c r="G6">
        <v>0.18367346938775511</v>
      </c>
      <c r="H6">
        <v>6.5934065934065936E-2</v>
      </c>
      <c r="I6">
        <v>0.28366762177650429</v>
      </c>
      <c r="J6">
        <v>0.42857142857142849</v>
      </c>
      <c r="K6">
        <v>0</v>
      </c>
      <c r="L6">
        <f t="shared" si="0"/>
        <v>27.33383070546229</v>
      </c>
      <c r="O6">
        <v>5</v>
      </c>
      <c r="P6">
        <v>800000000</v>
      </c>
      <c r="Q6">
        <v>65</v>
      </c>
      <c r="R6">
        <v>80</v>
      </c>
      <c r="S6">
        <v>17</v>
      </c>
      <c r="T6">
        <v>20</v>
      </c>
      <c r="U6">
        <v>40</v>
      </c>
      <c r="V6">
        <v>50000</v>
      </c>
      <c r="W6">
        <v>5</v>
      </c>
      <c r="X6">
        <v>1</v>
      </c>
    </row>
    <row r="7" spans="1:24" x14ac:dyDescent="0.4">
      <c r="A7" t="s">
        <v>25</v>
      </c>
      <c r="B7">
        <v>0</v>
      </c>
      <c r="C7">
        <v>8.678237650200267E-3</v>
      </c>
      <c r="D7">
        <v>0</v>
      </c>
      <c r="E7">
        <v>0.21487603305785119</v>
      </c>
      <c r="F7">
        <v>1</v>
      </c>
      <c r="G7">
        <v>8.1632653061224483E-2</v>
      </c>
      <c r="H7">
        <v>1.8315018315018319E-3</v>
      </c>
      <c r="I7">
        <v>0.28366762177650429</v>
      </c>
      <c r="J7">
        <v>0.2857142857142857</v>
      </c>
      <c r="K7">
        <v>0</v>
      </c>
      <c r="L7">
        <f t="shared" si="0"/>
        <v>15.786633771635913</v>
      </c>
      <c r="O7">
        <v>0</v>
      </c>
      <c r="P7">
        <v>150000000</v>
      </c>
      <c r="Q7">
        <v>7.5</v>
      </c>
      <c r="R7">
        <v>60</v>
      </c>
      <c r="S7">
        <v>47</v>
      </c>
      <c r="T7">
        <v>10</v>
      </c>
      <c r="U7">
        <v>5</v>
      </c>
      <c r="V7">
        <v>50000</v>
      </c>
      <c r="W7">
        <v>4</v>
      </c>
      <c r="X7">
        <v>1</v>
      </c>
    </row>
    <row r="8" spans="1:24" x14ac:dyDescent="0.4">
      <c r="A8" t="s">
        <v>26</v>
      </c>
      <c r="B8">
        <v>0</v>
      </c>
      <c r="C8">
        <v>3.3377837116154872E-4</v>
      </c>
      <c r="D8">
        <v>0</v>
      </c>
      <c r="E8">
        <v>0.1115702479338843</v>
      </c>
      <c r="F8">
        <v>0.6</v>
      </c>
      <c r="G8">
        <v>3.0612244897959179E-2</v>
      </c>
      <c r="H8">
        <v>1.8315018315018319E-3</v>
      </c>
      <c r="I8">
        <v>4.5845272206303717E-2</v>
      </c>
      <c r="J8">
        <v>0.2857142857142857</v>
      </c>
      <c r="K8">
        <v>0.1111111111111111</v>
      </c>
      <c r="L8">
        <f t="shared" si="0"/>
        <v>9.5007146272722576</v>
      </c>
      <c r="O8">
        <v>0</v>
      </c>
      <c r="P8">
        <v>25000000</v>
      </c>
      <c r="Q8">
        <v>7.5</v>
      </c>
      <c r="R8">
        <v>35</v>
      </c>
      <c r="S8">
        <v>29</v>
      </c>
      <c r="T8">
        <v>5</v>
      </c>
      <c r="U8">
        <v>5</v>
      </c>
      <c r="V8">
        <v>8500</v>
      </c>
      <c r="W8">
        <v>4</v>
      </c>
      <c r="X8">
        <v>2</v>
      </c>
    </row>
    <row r="9" spans="1:24" x14ac:dyDescent="0.4">
      <c r="A9" t="s">
        <v>27</v>
      </c>
      <c r="B9">
        <v>0</v>
      </c>
      <c r="C9">
        <v>1.6688918558077439E-3</v>
      </c>
      <c r="D9">
        <v>0.16</v>
      </c>
      <c r="E9">
        <v>7.0247933884297523E-2</v>
      </c>
      <c r="F9">
        <v>0.42222222222222222</v>
      </c>
      <c r="G9">
        <v>3.0612244897959179E-2</v>
      </c>
      <c r="H9">
        <v>3.663003663003663E-3</v>
      </c>
      <c r="I9">
        <v>2.5787965616045849E-2</v>
      </c>
      <c r="J9">
        <v>0.2857142857142857</v>
      </c>
      <c r="K9">
        <v>0</v>
      </c>
      <c r="L9">
        <f t="shared" si="0"/>
        <v>8.7098358971970367</v>
      </c>
      <c r="O9">
        <v>0</v>
      </c>
      <c r="P9">
        <v>45000000</v>
      </c>
      <c r="Q9">
        <v>17.5</v>
      </c>
      <c r="R9">
        <v>25</v>
      </c>
      <c r="S9">
        <v>21</v>
      </c>
      <c r="T9">
        <v>5</v>
      </c>
      <c r="U9">
        <v>6</v>
      </c>
      <c r="V9">
        <v>5000</v>
      </c>
      <c r="W9">
        <v>4</v>
      </c>
      <c r="X9">
        <v>1</v>
      </c>
    </row>
    <row r="10" spans="1:24" x14ac:dyDescent="0.4">
      <c r="A10" t="s">
        <v>28</v>
      </c>
      <c r="B10">
        <v>0</v>
      </c>
      <c r="C10">
        <v>4.0053404539385851E-3</v>
      </c>
      <c r="D10">
        <v>0.32</v>
      </c>
      <c r="E10">
        <v>0.1735537190082645</v>
      </c>
      <c r="F10">
        <v>0.26666666666666672</v>
      </c>
      <c r="G10">
        <v>6.1224489795918373E-2</v>
      </c>
      <c r="H10">
        <v>2.0146520146520151E-2</v>
      </c>
      <c r="I10">
        <v>5.4441260744985683E-2</v>
      </c>
      <c r="J10">
        <v>0.2857142857142857</v>
      </c>
      <c r="K10">
        <v>0.22222222222222221</v>
      </c>
      <c r="L10">
        <f t="shared" si="0"/>
        <v>12.686615565597375</v>
      </c>
      <c r="O10">
        <v>0</v>
      </c>
      <c r="P10">
        <v>80000000</v>
      </c>
      <c r="Q10">
        <v>27.5</v>
      </c>
      <c r="R10">
        <v>50</v>
      </c>
      <c r="S10">
        <v>14</v>
      </c>
      <c r="T10">
        <v>8</v>
      </c>
      <c r="U10">
        <v>15</v>
      </c>
      <c r="V10">
        <v>10000</v>
      </c>
      <c r="W10">
        <v>4</v>
      </c>
      <c r="X10">
        <v>3</v>
      </c>
    </row>
    <row r="11" spans="1:24" x14ac:dyDescent="0.4">
      <c r="A11" t="s">
        <v>29</v>
      </c>
      <c r="B11">
        <v>0.77777777777777779</v>
      </c>
      <c r="C11">
        <v>0.19893190921228299</v>
      </c>
      <c r="D11">
        <v>0.88</v>
      </c>
      <c r="E11">
        <v>0.38016528925619841</v>
      </c>
      <c r="F11">
        <v>0.48888888888888887</v>
      </c>
      <c r="G11">
        <v>0.2857142857142857</v>
      </c>
      <c r="H11">
        <v>0.17582417582417581</v>
      </c>
      <c r="I11">
        <v>5.4441260744985683E-2</v>
      </c>
      <c r="J11">
        <v>0.5714285714285714</v>
      </c>
      <c r="K11">
        <v>0.44444444444444442</v>
      </c>
      <c r="L11">
        <f t="shared" si="0"/>
        <v>44.804525527410718</v>
      </c>
      <c r="O11">
        <v>35</v>
      </c>
      <c r="P11">
        <v>3000000000</v>
      </c>
      <c r="Q11">
        <v>62.5</v>
      </c>
      <c r="R11">
        <v>100</v>
      </c>
      <c r="S11">
        <v>24</v>
      </c>
      <c r="T11">
        <v>30</v>
      </c>
      <c r="U11">
        <v>100</v>
      </c>
      <c r="V11">
        <v>10000</v>
      </c>
      <c r="W11">
        <v>6</v>
      </c>
      <c r="X11">
        <v>5</v>
      </c>
    </row>
    <row r="12" spans="1:24" x14ac:dyDescent="0.4">
      <c r="A12" t="s">
        <v>30</v>
      </c>
      <c r="B12">
        <v>0</v>
      </c>
      <c r="C12">
        <v>1.2016021361815749E-2</v>
      </c>
      <c r="D12">
        <v>0.48</v>
      </c>
      <c r="E12">
        <v>0.21487603305785119</v>
      </c>
      <c r="F12">
        <v>0.22222222222222221</v>
      </c>
      <c r="G12">
        <v>0.18367346938775511</v>
      </c>
      <c r="H12">
        <v>3.8461538461538457E-2</v>
      </c>
      <c r="I12">
        <v>8.3094555873925502E-2</v>
      </c>
      <c r="J12">
        <v>0.42857142857142849</v>
      </c>
      <c r="K12">
        <v>0.1111111111111111</v>
      </c>
      <c r="L12">
        <f t="shared" si="0"/>
        <v>16.813255622964785</v>
      </c>
      <c r="O12">
        <v>0</v>
      </c>
      <c r="P12">
        <v>200000000</v>
      </c>
      <c r="Q12">
        <v>37.5</v>
      </c>
      <c r="R12">
        <v>60</v>
      </c>
      <c r="S12">
        <v>12</v>
      </c>
      <c r="T12">
        <v>20</v>
      </c>
      <c r="U12">
        <v>25</v>
      </c>
      <c r="V12">
        <v>15000</v>
      </c>
      <c r="W12">
        <v>5</v>
      </c>
      <c r="X12">
        <v>2</v>
      </c>
    </row>
    <row r="13" spans="1:24" x14ac:dyDescent="0.4">
      <c r="A13" t="s">
        <v>31</v>
      </c>
      <c r="B13">
        <v>0</v>
      </c>
      <c r="C13">
        <v>1.0013351134846461E-3</v>
      </c>
      <c r="D13">
        <v>0.08</v>
      </c>
      <c r="E13">
        <v>0</v>
      </c>
      <c r="F13">
        <v>0.48888888888888887</v>
      </c>
      <c r="G13">
        <v>8.1632653061224483E-2</v>
      </c>
      <c r="H13">
        <v>0</v>
      </c>
      <c r="I13">
        <v>2.5787965616045849E-2</v>
      </c>
      <c r="J13">
        <v>0.14285714285714279</v>
      </c>
      <c r="K13">
        <v>0</v>
      </c>
      <c r="L13">
        <f t="shared" si="0"/>
        <v>6.9057573880135381</v>
      </c>
      <c r="O13">
        <v>0</v>
      </c>
      <c r="P13">
        <v>35000000</v>
      </c>
      <c r="Q13">
        <v>12.5</v>
      </c>
      <c r="R13">
        <v>8</v>
      </c>
      <c r="S13">
        <v>24</v>
      </c>
      <c r="T13">
        <v>10</v>
      </c>
      <c r="U13">
        <v>4</v>
      </c>
      <c r="V13">
        <v>5000</v>
      </c>
      <c r="W13">
        <v>3</v>
      </c>
      <c r="X13">
        <v>1</v>
      </c>
    </row>
    <row r="14" spans="1:24" x14ac:dyDescent="0.4">
      <c r="A14" t="s">
        <v>32</v>
      </c>
      <c r="B14">
        <v>0</v>
      </c>
      <c r="C14">
        <v>1.535380507343124E-2</v>
      </c>
      <c r="D14">
        <v>0.4</v>
      </c>
      <c r="E14">
        <v>0.243801652892562</v>
      </c>
      <c r="F14">
        <v>0.17777777777777781</v>
      </c>
      <c r="G14">
        <v>0.1020408163265306</v>
      </c>
      <c r="H14">
        <v>2.9304029304029301E-2</v>
      </c>
      <c r="I14">
        <v>5.4441260744985683E-2</v>
      </c>
      <c r="J14">
        <v>0.2857142857142857</v>
      </c>
      <c r="K14">
        <v>0</v>
      </c>
      <c r="L14">
        <f t="shared" si="0"/>
        <v>13.081066260079627</v>
      </c>
      <c r="O14">
        <v>0</v>
      </c>
      <c r="P14">
        <v>250000000</v>
      </c>
      <c r="Q14">
        <v>32.5</v>
      </c>
      <c r="R14">
        <v>67</v>
      </c>
      <c r="S14">
        <v>10</v>
      </c>
      <c r="T14">
        <v>12</v>
      </c>
      <c r="U14">
        <v>20</v>
      </c>
      <c r="V14">
        <v>10000</v>
      </c>
      <c r="W14">
        <v>4</v>
      </c>
      <c r="X14">
        <v>1</v>
      </c>
    </row>
    <row r="15" spans="1:24" x14ac:dyDescent="0.4">
      <c r="A15" t="s">
        <v>33</v>
      </c>
      <c r="B15">
        <v>0</v>
      </c>
      <c r="C15">
        <v>6.6755674232309744E-4</v>
      </c>
      <c r="D15">
        <v>0.16</v>
      </c>
      <c r="E15">
        <v>2.8925619834710741E-2</v>
      </c>
      <c r="F15">
        <v>0.28888888888888892</v>
      </c>
      <c r="G15">
        <v>3.0612244897959179E-2</v>
      </c>
      <c r="H15">
        <v>7.326007326007326E-3</v>
      </c>
      <c r="I15">
        <v>5.1575931232091692E-2</v>
      </c>
      <c r="J15">
        <v>0.14285714285714279</v>
      </c>
      <c r="K15">
        <v>0</v>
      </c>
      <c r="L15">
        <f t="shared" si="0"/>
        <v>6.3782192021319153</v>
      </c>
      <c r="O15">
        <v>0</v>
      </c>
      <c r="P15">
        <v>30000000</v>
      </c>
      <c r="Q15">
        <v>17.5</v>
      </c>
      <c r="R15">
        <v>15</v>
      </c>
      <c r="S15">
        <v>15</v>
      </c>
      <c r="T15">
        <v>5</v>
      </c>
      <c r="U15">
        <v>8</v>
      </c>
      <c r="V15">
        <v>9500</v>
      </c>
      <c r="W15">
        <v>3</v>
      </c>
      <c r="X15">
        <v>1</v>
      </c>
    </row>
    <row r="16" spans="1:24" x14ac:dyDescent="0.4">
      <c r="A16" t="s">
        <v>34</v>
      </c>
      <c r="B16">
        <v>6.6666666666666666E-2</v>
      </c>
      <c r="C16">
        <v>8.678237650200267E-3</v>
      </c>
      <c r="D16">
        <v>0.48</v>
      </c>
      <c r="E16">
        <v>0.1735537190082645</v>
      </c>
      <c r="F16">
        <v>0.2</v>
      </c>
      <c r="G16">
        <v>0.1326530612244898</v>
      </c>
      <c r="H16">
        <v>6.5934065934065936E-2</v>
      </c>
      <c r="I16">
        <v>8.882521489971347E-2</v>
      </c>
      <c r="J16">
        <v>0.5714285714285714</v>
      </c>
      <c r="K16">
        <v>0.1111111111111111</v>
      </c>
      <c r="L16">
        <f t="shared" si="0"/>
        <v>17.909923137351509</v>
      </c>
      <c r="O16">
        <v>3</v>
      </c>
      <c r="P16">
        <v>150000000</v>
      </c>
      <c r="Q16">
        <v>37.5</v>
      </c>
      <c r="R16">
        <v>50</v>
      </c>
      <c r="S16">
        <v>11</v>
      </c>
      <c r="T16">
        <v>15</v>
      </c>
      <c r="U16">
        <v>40</v>
      </c>
      <c r="V16">
        <v>16000</v>
      </c>
      <c r="W16">
        <v>6</v>
      </c>
      <c r="X16">
        <v>2</v>
      </c>
    </row>
    <row r="17" spans="1:24" x14ac:dyDescent="0.4">
      <c r="A17" t="s">
        <v>35</v>
      </c>
      <c r="B17">
        <v>2.222222222222222E-2</v>
      </c>
      <c r="C17">
        <v>0.29906542056074759</v>
      </c>
      <c r="D17">
        <v>0.8</v>
      </c>
      <c r="E17">
        <v>0.48347107438016529</v>
      </c>
      <c r="F17">
        <v>0.71111111111111114</v>
      </c>
      <c r="G17">
        <v>0.33673469387755101</v>
      </c>
      <c r="H17">
        <v>0.1025641025641026</v>
      </c>
      <c r="I17">
        <v>6.5902578796561598E-2</v>
      </c>
      <c r="J17">
        <v>0.5714285714285714</v>
      </c>
      <c r="K17">
        <v>0.22222222222222221</v>
      </c>
      <c r="L17">
        <f t="shared" si="0"/>
        <v>35.266202089635541</v>
      </c>
      <c r="O17">
        <v>1</v>
      </c>
      <c r="P17">
        <v>4500000000</v>
      </c>
      <c r="Q17">
        <v>57.5</v>
      </c>
      <c r="R17">
        <v>125</v>
      </c>
      <c r="S17">
        <v>34</v>
      </c>
      <c r="T17">
        <v>35</v>
      </c>
      <c r="U17">
        <v>60</v>
      </c>
      <c r="V17">
        <v>12000</v>
      </c>
      <c r="W17">
        <v>6</v>
      </c>
      <c r="X17">
        <v>3</v>
      </c>
    </row>
    <row r="18" spans="1:24" x14ac:dyDescent="0.4">
      <c r="A18" t="s">
        <v>36</v>
      </c>
      <c r="B18">
        <v>0.33333333333333331</v>
      </c>
      <c r="C18">
        <v>1</v>
      </c>
      <c r="D18">
        <v>0.88</v>
      </c>
      <c r="E18">
        <v>0.15289256198347109</v>
      </c>
      <c r="F18">
        <v>0.4</v>
      </c>
      <c r="G18">
        <v>0.23469387755102039</v>
      </c>
      <c r="H18">
        <v>1</v>
      </c>
      <c r="I18">
        <v>0</v>
      </c>
      <c r="J18">
        <v>0.5714285714285714</v>
      </c>
      <c r="K18">
        <v>0.1111111111111111</v>
      </c>
      <c r="L18">
        <f t="shared" si="0"/>
        <v>49.608316185978516</v>
      </c>
      <c r="O18">
        <v>15</v>
      </c>
      <c r="P18">
        <v>15000000000</v>
      </c>
      <c r="Q18">
        <v>62.5</v>
      </c>
      <c r="R18">
        <v>45</v>
      </c>
      <c r="S18">
        <v>20</v>
      </c>
      <c r="T18">
        <v>25</v>
      </c>
      <c r="U18">
        <v>550</v>
      </c>
      <c r="V18">
        <v>500</v>
      </c>
      <c r="W18">
        <v>6</v>
      </c>
      <c r="X18">
        <v>2</v>
      </c>
    </row>
    <row r="19" spans="1:24" x14ac:dyDescent="0.4">
      <c r="A19" t="s">
        <v>37</v>
      </c>
      <c r="B19">
        <v>0.1111111111111111</v>
      </c>
      <c r="C19">
        <v>5.5407209612817088E-2</v>
      </c>
      <c r="D19">
        <v>0.72</v>
      </c>
      <c r="E19">
        <v>0.38016528925619841</v>
      </c>
      <c r="F19">
        <v>0.22222222222222221</v>
      </c>
      <c r="G19">
        <v>0.18367346938775511</v>
      </c>
      <c r="H19">
        <v>8.4249084249084255E-2</v>
      </c>
      <c r="I19">
        <v>5.4441260744985683E-2</v>
      </c>
      <c r="J19">
        <v>0.42857142857142849</v>
      </c>
      <c r="K19">
        <v>0.33333333333333331</v>
      </c>
      <c r="L19">
        <f t="shared" si="0"/>
        <v>25.42607005320091</v>
      </c>
      <c r="O19">
        <v>5</v>
      </c>
      <c r="P19">
        <v>850000000</v>
      </c>
      <c r="Q19">
        <v>52.5</v>
      </c>
      <c r="R19">
        <v>100</v>
      </c>
      <c r="S19">
        <v>12</v>
      </c>
      <c r="T19">
        <v>20</v>
      </c>
      <c r="U19">
        <v>50</v>
      </c>
      <c r="V19">
        <v>10000</v>
      </c>
      <c r="W19">
        <v>5</v>
      </c>
      <c r="X19">
        <v>4</v>
      </c>
    </row>
    <row r="20" spans="1:24" x14ac:dyDescent="0.4">
      <c r="A20" t="s">
        <v>38</v>
      </c>
      <c r="B20">
        <v>4.4444444444444453E-2</v>
      </c>
      <c r="C20">
        <v>8.678237650200267E-3</v>
      </c>
      <c r="D20">
        <v>0.56000000000000005</v>
      </c>
      <c r="E20">
        <v>0.15289256198347109</v>
      </c>
      <c r="F20">
        <v>0.2</v>
      </c>
      <c r="G20">
        <v>0.18367346938775511</v>
      </c>
      <c r="H20">
        <v>4.7619047619047623E-2</v>
      </c>
      <c r="I20">
        <v>2.177650429799427E-2</v>
      </c>
      <c r="J20">
        <v>0.42857142857142849</v>
      </c>
      <c r="K20">
        <v>0.1111111111111111</v>
      </c>
      <c r="L20">
        <f t="shared" si="0"/>
        <v>17.079320133389373</v>
      </c>
      <c r="O20">
        <v>2</v>
      </c>
      <c r="P20">
        <v>150000000</v>
      </c>
      <c r="Q20">
        <v>42.5</v>
      </c>
      <c r="R20">
        <v>45</v>
      </c>
      <c r="S20">
        <v>11</v>
      </c>
      <c r="T20">
        <v>20</v>
      </c>
      <c r="U20">
        <v>30</v>
      </c>
      <c r="V20">
        <v>4300</v>
      </c>
      <c r="W20">
        <v>5</v>
      </c>
      <c r="X20">
        <v>2</v>
      </c>
    </row>
    <row r="21" spans="1:24" x14ac:dyDescent="0.4">
      <c r="A21" t="s">
        <v>39</v>
      </c>
      <c r="B21">
        <v>0.22222222222222221</v>
      </c>
      <c r="C21">
        <v>6.5420560747663545E-2</v>
      </c>
      <c r="D21">
        <v>0.88</v>
      </c>
      <c r="E21">
        <v>0.58677685950413228</v>
      </c>
      <c r="F21">
        <v>0.24444444444444441</v>
      </c>
      <c r="G21">
        <v>0.38775510204081631</v>
      </c>
      <c r="H21">
        <v>0.17582417582417581</v>
      </c>
      <c r="I21">
        <v>0.68481375358166185</v>
      </c>
      <c r="J21">
        <v>0.5714285714285714</v>
      </c>
      <c r="K21">
        <v>0.1111111111111111</v>
      </c>
      <c r="L21">
        <f t="shared" si="0"/>
        <v>39.45622740588032</v>
      </c>
      <c r="O21">
        <v>10</v>
      </c>
      <c r="P21">
        <v>1000000000</v>
      </c>
      <c r="Q21">
        <v>62.5</v>
      </c>
      <c r="R21">
        <v>150</v>
      </c>
      <c r="S21">
        <v>13</v>
      </c>
      <c r="T21">
        <v>40</v>
      </c>
      <c r="U21">
        <v>100</v>
      </c>
      <c r="V21">
        <v>120000</v>
      </c>
      <c r="W21">
        <v>6</v>
      </c>
      <c r="X21">
        <v>2</v>
      </c>
    </row>
    <row r="22" spans="1:24" x14ac:dyDescent="0.4">
      <c r="A22" t="s">
        <v>40</v>
      </c>
      <c r="B22">
        <v>6.6666666666666666E-2</v>
      </c>
      <c r="C22">
        <v>5.3404539385847804E-3</v>
      </c>
      <c r="D22">
        <v>0.70399999999999996</v>
      </c>
      <c r="E22">
        <v>0.2975206611570248</v>
      </c>
      <c r="F22">
        <v>0.35555555555555562</v>
      </c>
      <c r="G22">
        <v>0.18367346938775511</v>
      </c>
      <c r="H22">
        <v>5.6776556776556783E-2</v>
      </c>
      <c r="I22">
        <v>1.4899713467048711E-2</v>
      </c>
      <c r="J22">
        <v>0.42857142857142849</v>
      </c>
      <c r="K22">
        <v>0</v>
      </c>
      <c r="L22">
        <f t="shared" si="0"/>
        <v>21.450475794971268</v>
      </c>
      <c r="O22">
        <v>3</v>
      </c>
      <c r="P22">
        <v>100000000</v>
      </c>
      <c r="Q22">
        <v>51.5</v>
      </c>
      <c r="R22">
        <v>80</v>
      </c>
      <c r="S22">
        <v>18</v>
      </c>
      <c r="T22">
        <v>20</v>
      </c>
      <c r="U22">
        <v>35</v>
      </c>
      <c r="V22">
        <v>3100</v>
      </c>
      <c r="W22">
        <v>5</v>
      </c>
      <c r="X22">
        <v>1</v>
      </c>
    </row>
    <row r="23" spans="1:24" x14ac:dyDescent="0.4">
      <c r="A23" t="s">
        <v>41</v>
      </c>
      <c r="B23">
        <v>0</v>
      </c>
      <c r="C23">
        <v>4.0053404539385851E-3</v>
      </c>
      <c r="D23">
        <v>0.48</v>
      </c>
      <c r="E23">
        <v>0.1115702479338843</v>
      </c>
      <c r="F23">
        <v>0.2</v>
      </c>
      <c r="G23">
        <v>0.1326530612244898</v>
      </c>
      <c r="H23">
        <v>2.9304029304029301E-2</v>
      </c>
      <c r="I23">
        <v>1.2320916905444131E-2</v>
      </c>
      <c r="J23">
        <v>0.42857142857142849</v>
      </c>
      <c r="K23">
        <v>0</v>
      </c>
      <c r="L23">
        <f t="shared" si="0"/>
        <v>13.46504530118262</v>
      </c>
      <c r="O23">
        <v>0</v>
      </c>
      <c r="P23">
        <v>80000000</v>
      </c>
      <c r="Q23">
        <v>37.5</v>
      </c>
      <c r="R23">
        <v>35</v>
      </c>
      <c r="S23">
        <v>11</v>
      </c>
      <c r="T23">
        <v>15</v>
      </c>
      <c r="U23">
        <v>20</v>
      </c>
      <c r="V23">
        <v>2650</v>
      </c>
      <c r="W23">
        <v>5</v>
      </c>
      <c r="X23">
        <v>1</v>
      </c>
    </row>
    <row r="24" spans="1:24" x14ac:dyDescent="0.4">
      <c r="A24" t="s">
        <v>42</v>
      </c>
      <c r="B24">
        <v>0</v>
      </c>
      <c r="C24">
        <v>2.002670226969293E-3</v>
      </c>
      <c r="D24">
        <v>0.24</v>
      </c>
      <c r="E24">
        <v>0.14049586776859499</v>
      </c>
      <c r="F24">
        <v>0.33333333333333331</v>
      </c>
      <c r="G24">
        <v>8.1632653061224483E-2</v>
      </c>
      <c r="H24">
        <v>2.0146520146520151E-2</v>
      </c>
      <c r="I24">
        <v>0.15759312320916899</v>
      </c>
      <c r="J24">
        <v>0.42857142857142849</v>
      </c>
      <c r="K24">
        <v>0</v>
      </c>
      <c r="L24">
        <f t="shared" si="0"/>
        <v>12.535185840364239</v>
      </c>
      <c r="O24">
        <v>0</v>
      </c>
      <c r="P24">
        <v>50000000</v>
      </c>
      <c r="Q24">
        <v>22.5</v>
      </c>
      <c r="R24">
        <v>42</v>
      </c>
      <c r="S24">
        <v>17</v>
      </c>
      <c r="T24">
        <v>10</v>
      </c>
      <c r="U24">
        <v>15</v>
      </c>
      <c r="V24">
        <v>28000</v>
      </c>
      <c r="W24">
        <v>5</v>
      </c>
      <c r="X24">
        <v>1</v>
      </c>
    </row>
    <row r="25" spans="1:24" x14ac:dyDescent="0.4">
      <c r="A25" t="s">
        <v>43</v>
      </c>
      <c r="B25">
        <v>0</v>
      </c>
      <c r="C25">
        <v>1.3351134846461951E-3</v>
      </c>
      <c r="D25">
        <v>0.16</v>
      </c>
      <c r="E25">
        <v>2.8925619834710741E-2</v>
      </c>
      <c r="F25">
        <v>0.31111111111111112</v>
      </c>
      <c r="G25">
        <v>6.1224489795918373E-2</v>
      </c>
      <c r="H25">
        <v>1.098901098901099E-2</v>
      </c>
      <c r="I25">
        <v>8.5959885386819486E-3</v>
      </c>
      <c r="J25">
        <v>0.2857142857142857</v>
      </c>
      <c r="K25">
        <v>0</v>
      </c>
      <c r="L25">
        <f t="shared" si="0"/>
        <v>7.5629206048799222</v>
      </c>
      <c r="O25">
        <v>0</v>
      </c>
      <c r="P25">
        <v>40000000</v>
      </c>
      <c r="Q25">
        <v>17.5</v>
      </c>
      <c r="R25">
        <v>15</v>
      </c>
      <c r="S25">
        <v>16</v>
      </c>
      <c r="T25">
        <v>8</v>
      </c>
      <c r="U25">
        <v>10</v>
      </c>
      <c r="V25">
        <v>2000</v>
      </c>
      <c r="W25">
        <v>4</v>
      </c>
      <c r="X25">
        <v>1</v>
      </c>
    </row>
    <row r="26" spans="1:24" x14ac:dyDescent="0.4">
      <c r="A26" t="s">
        <v>44</v>
      </c>
      <c r="B26">
        <v>0</v>
      </c>
      <c r="C26">
        <v>8.678237650200267E-3</v>
      </c>
      <c r="D26">
        <v>0.24</v>
      </c>
      <c r="E26">
        <v>0.13223140495867769</v>
      </c>
      <c r="F26">
        <v>0.22222222222222221</v>
      </c>
      <c r="G26">
        <v>0.1326530612244898</v>
      </c>
      <c r="H26">
        <v>2.9304029304029301E-2</v>
      </c>
      <c r="I26">
        <v>4.2979942693409739E-2</v>
      </c>
      <c r="J26">
        <v>0.2857142857142857</v>
      </c>
      <c r="K26">
        <v>0</v>
      </c>
      <c r="L26">
        <f t="shared" si="0"/>
        <v>10.312103935916783</v>
      </c>
      <c r="O26">
        <v>0</v>
      </c>
      <c r="P26">
        <v>150000000</v>
      </c>
      <c r="Q26">
        <v>22.5</v>
      </c>
      <c r="R26">
        <v>40</v>
      </c>
      <c r="S26">
        <v>12</v>
      </c>
      <c r="T26">
        <v>15</v>
      </c>
      <c r="U26">
        <v>20</v>
      </c>
      <c r="V26">
        <v>8000</v>
      </c>
      <c r="W26">
        <v>4</v>
      </c>
      <c r="X26">
        <v>1</v>
      </c>
    </row>
    <row r="27" spans="1:24" x14ac:dyDescent="0.4">
      <c r="A27" t="s">
        <v>45</v>
      </c>
      <c r="B27">
        <v>0</v>
      </c>
      <c r="C27">
        <v>2.202937249666222E-2</v>
      </c>
      <c r="D27">
        <v>0.32</v>
      </c>
      <c r="E27">
        <v>0.38016528925619841</v>
      </c>
      <c r="F27">
        <v>0.26666666666666672</v>
      </c>
      <c r="G27">
        <v>0.18367346938775511</v>
      </c>
      <c r="H27">
        <v>3.8461538461538457E-2</v>
      </c>
      <c r="I27">
        <v>5.4441260744985683E-2</v>
      </c>
      <c r="J27">
        <v>0.42857142857142849</v>
      </c>
      <c r="K27">
        <v>0</v>
      </c>
      <c r="L27">
        <f t="shared" si="0"/>
        <v>16.456549438820481</v>
      </c>
      <c r="O27">
        <v>0</v>
      </c>
      <c r="P27">
        <v>350000000</v>
      </c>
      <c r="Q27">
        <v>27.5</v>
      </c>
      <c r="R27">
        <v>100</v>
      </c>
      <c r="S27">
        <v>14</v>
      </c>
      <c r="T27">
        <v>20</v>
      </c>
      <c r="U27">
        <v>25</v>
      </c>
      <c r="V27">
        <v>10000</v>
      </c>
      <c r="W27">
        <v>5</v>
      </c>
      <c r="X27">
        <v>1</v>
      </c>
    </row>
    <row r="28" spans="1:24" x14ac:dyDescent="0.4">
      <c r="A28" t="s">
        <v>46</v>
      </c>
      <c r="B28">
        <v>0.1111111111111111</v>
      </c>
      <c r="C28">
        <v>9.879839786381843E-2</v>
      </c>
      <c r="D28">
        <v>0.32</v>
      </c>
      <c r="E28">
        <v>1</v>
      </c>
      <c r="F28">
        <v>0.4</v>
      </c>
      <c r="G28">
        <v>0.2857142857142857</v>
      </c>
      <c r="H28">
        <v>6.5934065934065936E-2</v>
      </c>
      <c r="I28">
        <v>0.14040114613180521</v>
      </c>
      <c r="J28">
        <v>0.5714285714285714</v>
      </c>
      <c r="K28">
        <v>0.22222222222222221</v>
      </c>
      <c r="L28">
        <f t="shared" si="0"/>
        <v>31.865273459903769</v>
      </c>
      <c r="O28">
        <v>5</v>
      </c>
      <c r="P28">
        <v>1500000000</v>
      </c>
      <c r="Q28">
        <v>27.5</v>
      </c>
      <c r="R28">
        <v>250</v>
      </c>
      <c r="S28">
        <v>20</v>
      </c>
      <c r="T28">
        <v>30</v>
      </c>
      <c r="U28">
        <v>40</v>
      </c>
      <c r="V28">
        <v>25000</v>
      </c>
      <c r="W28">
        <v>6</v>
      </c>
      <c r="X28">
        <v>3</v>
      </c>
    </row>
    <row r="29" spans="1:24" x14ac:dyDescent="0.4">
      <c r="A29" t="s">
        <v>47</v>
      </c>
      <c r="B29">
        <v>0.31111111111111112</v>
      </c>
      <c r="C29">
        <v>6.5420560747663545E-2</v>
      </c>
      <c r="D29">
        <v>0.64</v>
      </c>
      <c r="E29">
        <v>0.38016528925619841</v>
      </c>
      <c r="F29">
        <v>0.57777777777777772</v>
      </c>
      <c r="G29">
        <v>0.59183673469387754</v>
      </c>
      <c r="H29">
        <v>6.5934065934065936E-2</v>
      </c>
      <c r="I29">
        <v>2.5787965616045849E-2</v>
      </c>
      <c r="J29">
        <v>0.42857142857142849</v>
      </c>
      <c r="K29">
        <v>0.22222222222222221</v>
      </c>
      <c r="L29">
        <f t="shared" si="0"/>
        <v>33.433264153476358</v>
      </c>
      <c r="O29">
        <v>14</v>
      </c>
      <c r="P29">
        <v>1000000000</v>
      </c>
      <c r="Q29">
        <v>47.5</v>
      </c>
      <c r="R29">
        <v>100</v>
      </c>
      <c r="S29">
        <v>28</v>
      </c>
      <c r="T29">
        <v>60</v>
      </c>
      <c r="U29">
        <v>40</v>
      </c>
      <c r="V29">
        <v>5000</v>
      </c>
      <c r="W29">
        <v>5</v>
      </c>
      <c r="X29">
        <v>3</v>
      </c>
    </row>
    <row r="30" spans="1:24" x14ac:dyDescent="0.4">
      <c r="A30" t="s">
        <v>48</v>
      </c>
      <c r="B30">
        <v>0</v>
      </c>
      <c r="C30">
        <v>5.3404539385847804E-3</v>
      </c>
      <c r="D30">
        <v>0.4</v>
      </c>
      <c r="E30">
        <v>0.21487603305785119</v>
      </c>
      <c r="F30">
        <v>0.35555555555555562</v>
      </c>
      <c r="G30">
        <v>0.1326530612244898</v>
      </c>
      <c r="H30">
        <v>2.9304029304029301E-2</v>
      </c>
      <c r="I30">
        <v>3.7249283667621778E-2</v>
      </c>
      <c r="J30">
        <v>0.42857142857142849</v>
      </c>
      <c r="K30">
        <v>0</v>
      </c>
      <c r="L30">
        <f t="shared" si="0"/>
        <v>15.204607463027841</v>
      </c>
      <c r="O30">
        <v>0</v>
      </c>
      <c r="P30">
        <v>100000000</v>
      </c>
      <c r="Q30">
        <v>32.5</v>
      </c>
      <c r="R30">
        <v>60</v>
      </c>
      <c r="S30">
        <v>18</v>
      </c>
      <c r="T30">
        <v>15</v>
      </c>
      <c r="U30">
        <v>20</v>
      </c>
      <c r="V30">
        <v>7000</v>
      </c>
      <c r="W30">
        <v>5</v>
      </c>
      <c r="X30">
        <v>1</v>
      </c>
    </row>
    <row r="31" spans="1:24" x14ac:dyDescent="0.4">
      <c r="A31" t="s">
        <v>49</v>
      </c>
      <c r="B31">
        <v>4.4444444444444453E-2</v>
      </c>
      <c r="C31">
        <v>5.3404539385847804E-3</v>
      </c>
      <c r="D31">
        <v>0.48</v>
      </c>
      <c r="E31">
        <v>9.0909090909090912E-2</v>
      </c>
      <c r="F31">
        <v>0.31111111111111112</v>
      </c>
      <c r="G31">
        <v>0.1326530612244898</v>
      </c>
      <c r="H31">
        <v>2.9304029304029301E-2</v>
      </c>
      <c r="I31">
        <v>0.2148997134670487</v>
      </c>
      <c r="J31">
        <v>0.42857142857142849</v>
      </c>
      <c r="K31">
        <v>0.1111111111111111</v>
      </c>
      <c r="L31">
        <f t="shared" si="0"/>
        <v>17.075985373415911</v>
      </c>
      <c r="O31">
        <v>2</v>
      </c>
      <c r="P31">
        <v>100000000</v>
      </c>
      <c r="Q31">
        <v>37.5</v>
      </c>
      <c r="R31">
        <v>30</v>
      </c>
      <c r="S31">
        <v>16</v>
      </c>
      <c r="T31">
        <v>15</v>
      </c>
      <c r="U31">
        <v>20</v>
      </c>
      <c r="V31">
        <v>38000</v>
      </c>
      <c r="W31">
        <v>5</v>
      </c>
      <c r="X31">
        <v>2</v>
      </c>
    </row>
    <row r="32" spans="1:24" x14ac:dyDescent="0.4">
      <c r="A32" t="s">
        <v>50</v>
      </c>
      <c r="B32">
        <v>0</v>
      </c>
      <c r="C32">
        <v>2.002670226969293E-3</v>
      </c>
      <c r="D32">
        <v>0.32</v>
      </c>
      <c r="E32">
        <v>4.1322314049586778E-2</v>
      </c>
      <c r="F32">
        <v>0.31111111111111112</v>
      </c>
      <c r="G32">
        <v>8.1632653061224483E-2</v>
      </c>
      <c r="H32">
        <v>0.2032967032967033</v>
      </c>
      <c r="I32">
        <v>0</v>
      </c>
      <c r="J32">
        <v>0.2857142857142857</v>
      </c>
      <c r="K32">
        <v>0</v>
      </c>
      <c r="L32">
        <f t="shared" si="0"/>
        <v>11.698082263786839</v>
      </c>
      <c r="O32">
        <v>0</v>
      </c>
      <c r="P32">
        <v>50000000</v>
      </c>
      <c r="Q32">
        <v>27.5</v>
      </c>
      <c r="R32">
        <v>18</v>
      </c>
      <c r="S32">
        <v>16</v>
      </c>
      <c r="T32">
        <v>10</v>
      </c>
      <c r="U32">
        <v>115</v>
      </c>
      <c r="V32">
        <v>500</v>
      </c>
      <c r="W32">
        <v>4</v>
      </c>
      <c r="X32">
        <v>1</v>
      </c>
    </row>
    <row r="33" spans="1:24" x14ac:dyDescent="0.4">
      <c r="A33" t="s">
        <v>51</v>
      </c>
      <c r="B33">
        <v>1</v>
      </c>
      <c r="C33">
        <v>6.5420560747663545E-2</v>
      </c>
      <c r="D33">
        <v>0.72</v>
      </c>
      <c r="E33">
        <v>0.79338842975206614</v>
      </c>
      <c r="F33">
        <v>0.24444444444444441</v>
      </c>
      <c r="G33">
        <v>1</v>
      </c>
      <c r="H33">
        <v>0.26739926739926739</v>
      </c>
      <c r="I33">
        <v>1.432664756446991E-2</v>
      </c>
      <c r="J33">
        <v>0.42857142857142849</v>
      </c>
      <c r="K33">
        <v>1</v>
      </c>
      <c r="L33">
        <f t="shared" si="0"/>
        <v>57.689869296060749</v>
      </c>
      <c r="O33">
        <v>45</v>
      </c>
      <c r="P33">
        <v>1000000000</v>
      </c>
      <c r="Q33">
        <v>52.5</v>
      </c>
      <c r="R33">
        <v>200</v>
      </c>
      <c r="S33">
        <v>13</v>
      </c>
      <c r="T33">
        <v>100</v>
      </c>
      <c r="U33">
        <v>150</v>
      </c>
      <c r="V33">
        <v>3000</v>
      </c>
      <c r="W33">
        <v>5</v>
      </c>
      <c r="X33">
        <v>10</v>
      </c>
    </row>
    <row r="34" spans="1:24" x14ac:dyDescent="0.4">
      <c r="A34" t="s">
        <v>52</v>
      </c>
      <c r="B34">
        <v>0</v>
      </c>
      <c r="C34">
        <v>2.002670226969293E-3</v>
      </c>
      <c r="D34">
        <v>0.24</v>
      </c>
      <c r="E34">
        <v>6.1983471074380167E-2</v>
      </c>
      <c r="F34">
        <v>0.42222222222222222</v>
      </c>
      <c r="G34">
        <v>8.1632653061224483E-2</v>
      </c>
      <c r="H34">
        <v>2.0146520146520151E-2</v>
      </c>
      <c r="I34">
        <v>7.1633237822349566E-2</v>
      </c>
      <c r="J34">
        <v>0.2857142857142857</v>
      </c>
      <c r="K34">
        <v>0</v>
      </c>
      <c r="L34">
        <f t="shared" si="0"/>
        <v>10.616469108050216</v>
      </c>
      <c r="O34">
        <v>0</v>
      </c>
      <c r="P34">
        <v>50000000</v>
      </c>
      <c r="Q34">
        <v>22.5</v>
      </c>
      <c r="R34">
        <v>23</v>
      </c>
      <c r="S34">
        <v>21</v>
      </c>
      <c r="T34">
        <v>10</v>
      </c>
      <c r="U34">
        <v>15</v>
      </c>
      <c r="V34">
        <v>13000</v>
      </c>
      <c r="W34">
        <v>4</v>
      </c>
      <c r="X34">
        <v>1</v>
      </c>
    </row>
    <row r="35" spans="1:24" x14ac:dyDescent="0.4">
      <c r="A35" t="s">
        <v>53</v>
      </c>
      <c r="B35">
        <v>0</v>
      </c>
      <c r="C35">
        <v>2.002670226969293E-3</v>
      </c>
      <c r="D35">
        <v>0.24</v>
      </c>
      <c r="E35">
        <v>4.9586776859504127E-2</v>
      </c>
      <c r="F35">
        <v>0.66666666666666663</v>
      </c>
      <c r="G35">
        <v>8.1632653061224483E-2</v>
      </c>
      <c r="H35">
        <v>2.0146520146520151E-2</v>
      </c>
      <c r="I35">
        <v>3.151862464183381E-2</v>
      </c>
      <c r="J35">
        <v>0.2857142857142857</v>
      </c>
      <c r="K35">
        <v>0</v>
      </c>
      <c r="L35">
        <f t="shared" si="0"/>
        <v>12.102347427583132</v>
      </c>
      <c r="O35">
        <v>0</v>
      </c>
      <c r="P35">
        <v>50000000</v>
      </c>
      <c r="Q35">
        <v>22.5</v>
      </c>
      <c r="R35">
        <v>20</v>
      </c>
      <c r="S35">
        <v>32</v>
      </c>
      <c r="T35">
        <v>10</v>
      </c>
      <c r="U35">
        <v>15</v>
      </c>
      <c r="V35">
        <v>6000</v>
      </c>
      <c r="W35">
        <v>4</v>
      </c>
      <c r="X35">
        <v>1</v>
      </c>
    </row>
    <row r="36" spans="1:24" x14ac:dyDescent="0.4">
      <c r="A36" t="s">
        <v>54</v>
      </c>
      <c r="B36">
        <v>0</v>
      </c>
      <c r="C36">
        <v>8.678237650200267E-3</v>
      </c>
      <c r="D36">
        <v>0.24</v>
      </c>
      <c r="E36">
        <v>6.1983471074380167E-2</v>
      </c>
      <c r="F36">
        <v>0.84444444444444444</v>
      </c>
      <c r="G36">
        <v>0.23469387755102039</v>
      </c>
      <c r="H36">
        <v>2.0146520146520151E-2</v>
      </c>
      <c r="I36">
        <v>3.7822349570200572E-2</v>
      </c>
      <c r="J36">
        <v>0.42857142857142849</v>
      </c>
      <c r="K36">
        <v>0</v>
      </c>
      <c r="L36">
        <f t="shared" si="0"/>
        <v>16.334478833787529</v>
      </c>
      <c r="O36">
        <v>0</v>
      </c>
      <c r="P36">
        <v>150000000</v>
      </c>
      <c r="Q36">
        <v>22.5</v>
      </c>
      <c r="R36">
        <v>23</v>
      </c>
      <c r="S36">
        <v>40</v>
      </c>
      <c r="T36">
        <v>25</v>
      </c>
      <c r="U36">
        <v>15</v>
      </c>
      <c r="V36">
        <v>7100</v>
      </c>
      <c r="W36">
        <v>5</v>
      </c>
      <c r="X36">
        <v>1</v>
      </c>
    </row>
    <row r="37" spans="1:24" x14ac:dyDescent="0.4">
      <c r="A37" t="s">
        <v>55</v>
      </c>
      <c r="B37">
        <v>0.33333333333333331</v>
      </c>
      <c r="C37">
        <v>3.2042723631508681E-2</v>
      </c>
      <c r="D37">
        <v>0.64</v>
      </c>
      <c r="E37">
        <v>0.58677685950413228</v>
      </c>
      <c r="F37">
        <v>0.53333333333333333</v>
      </c>
      <c r="G37">
        <v>0.2857142857142857</v>
      </c>
      <c r="H37">
        <v>8.4249084249084255E-2</v>
      </c>
      <c r="I37">
        <v>4.8710601719197709E-3</v>
      </c>
      <c r="J37">
        <v>0.5714285714285714</v>
      </c>
      <c r="K37">
        <v>0</v>
      </c>
      <c r="L37">
        <f t="shared" si="0"/>
        <v>32.111103845303411</v>
      </c>
      <c r="O37">
        <v>15</v>
      </c>
      <c r="P37">
        <v>500000000</v>
      </c>
      <c r="Q37">
        <v>47.5</v>
      </c>
      <c r="R37">
        <v>150</v>
      </c>
      <c r="S37">
        <v>26</v>
      </c>
      <c r="T37">
        <v>30</v>
      </c>
      <c r="U37">
        <v>50</v>
      </c>
      <c r="V37">
        <v>1350</v>
      </c>
      <c r="W37">
        <v>6</v>
      </c>
      <c r="X37">
        <v>1</v>
      </c>
    </row>
    <row r="38" spans="1:24" x14ac:dyDescent="0.4">
      <c r="A38" t="s">
        <v>56</v>
      </c>
      <c r="B38">
        <v>0</v>
      </c>
      <c r="C38">
        <v>2.002670226969293E-3</v>
      </c>
      <c r="D38">
        <v>0.16</v>
      </c>
      <c r="E38">
        <v>4.1322314049586778E-2</v>
      </c>
      <c r="F38">
        <v>0.4</v>
      </c>
      <c r="G38">
        <v>8.1632653061224483E-2</v>
      </c>
      <c r="H38">
        <v>1.098901098901099E-2</v>
      </c>
      <c r="I38">
        <v>2.6934097421203441E-2</v>
      </c>
      <c r="J38">
        <v>0.42857142857142849</v>
      </c>
      <c r="K38">
        <v>0</v>
      </c>
      <c r="L38">
        <f t="shared" si="0"/>
        <v>9.7815892311906545</v>
      </c>
      <c r="O38">
        <v>0</v>
      </c>
      <c r="P38">
        <v>50000000</v>
      </c>
      <c r="Q38">
        <v>17.5</v>
      </c>
      <c r="R38">
        <v>18</v>
      </c>
      <c r="S38">
        <v>20</v>
      </c>
      <c r="T38">
        <v>10</v>
      </c>
      <c r="U38">
        <v>10</v>
      </c>
      <c r="V38">
        <v>5200</v>
      </c>
      <c r="W38">
        <v>5</v>
      </c>
      <c r="X38">
        <v>1</v>
      </c>
    </row>
    <row r="39" spans="1:24" x14ac:dyDescent="0.4">
      <c r="A39" t="s">
        <v>57</v>
      </c>
      <c r="B39">
        <v>4.4444444444444453E-2</v>
      </c>
      <c r="C39">
        <v>8.678237650200267E-3</v>
      </c>
      <c r="D39">
        <v>0.32</v>
      </c>
      <c r="E39">
        <v>0.1012396694214876</v>
      </c>
      <c r="F39">
        <v>0.57777777777777772</v>
      </c>
      <c r="G39">
        <v>0.18367346938775511</v>
      </c>
      <c r="H39">
        <v>2.0146520146520151E-2</v>
      </c>
      <c r="I39">
        <v>4.5845272206303717E-2</v>
      </c>
      <c r="J39">
        <v>0.42857142857142849</v>
      </c>
      <c r="K39">
        <v>0.1111111111111111</v>
      </c>
      <c r="L39">
        <f t="shared" si="0"/>
        <v>16.51953251340899</v>
      </c>
      <c r="O39">
        <v>2</v>
      </c>
      <c r="P39">
        <v>150000000</v>
      </c>
      <c r="Q39">
        <v>27.5</v>
      </c>
      <c r="R39">
        <v>32.5</v>
      </c>
      <c r="S39">
        <v>28</v>
      </c>
      <c r="T39">
        <v>20</v>
      </c>
      <c r="U39">
        <v>15</v>
      </c>
      <c r="V39">
        <v>8500</v>
      </c>
      <c r="W39">
        <v>5</v>
      </c>
      <c r="X39">
        <v>2</v>
      </c>
    </row>
    <row r="40" spans="1:24" x14ac:dyDescent="0.4">
      <c r="A40" t="s">
        <v>58</v>
      </c>
      <c r="B40">
        <v>0</v>
      </c>
      <c r="C40">
        <v>1.2016021361815749E-2</v>
      </c>
      <c r="D40">
        <v>0.24</v>
      </c>
      <c r="E40">
        <v>8.2644628099173556E-2</v>
      </c>
      <c r="F40">
        <v>0.2</v>
      </c>
      <c r="G40">
        <v>0.1326530612244898</v>
      </c>
      <c r="H40">
        <v>1.098901098901099E-2</v>
      </c>
      <c r="I40">
        <v>2.5787965616045849E-2</v>
      </c>
      <c r="J40">
        <v>0.2857142857142857</v>
      </c>
      <c r="K40">
        <v>0</v>
      </c>
      <c r="L40">
        <f t="shared" si="0"/>
        <v>9.2586522405952465</v>
      </c>
      <c r="O40">
        <v>0</v>
      </c>
      <c r="P40">
        <v>200000000</v>
      </c>
      <c r="Q40">
        <v>22.5</v>
      </c>
      <c r="R40">
        <v>28</v>
      </c>
      <c r="S40">
        <v>11</v>
      </c>
      <c r="T40">
        <v>15</v>
      </c>
      <c r="U40">
        <v>10</v>
      </c>
      <c r="V40">
        <v>5000</v>
      </c>
      <c r="W40">
        <v>4</v>
      </c>
      <c r="X40">
        <v>1</v>
      </c>
    </row>
    <row r="41" spans="1:24" x14ac:dyDescent="0.4">
      <c r="A41" t="s">
        <v>59</v>
      </c>
      <c r="B41">
        <v>0</v>
      </c>
      <c r="C41">
        <v>2.002670226969293E-3</v>
      </c>
      <c r="D41">
        <v>0.16</v>
      </c>
      <c r="E41">
        <v>6.1983471074380167E-2</v>
      </c>
      <c r="F41">
        <v>0.2</v>
      </c>
      <c r="G41">
        <v>8.1632653061224483E-2</v>
      </c>
      <c r="H41">
        <v>1.098901098901099E-2</v>
      </c>
      <c r="I41">
        <v>8.7106017191977081E-2</v>
      </c>
      <c r="J41">
        <v>0.2857142857142857</v>
      </c>
      <c r="K41">
        <v>0</v>
      </c>
      <c r="L41">
        <f t="shared" si="0"/>
        <v>7.910898473654365</v>
      </c>
      <c r="O41">
        <v>0</v>
      </c>
      <c r="P41">
        <v>50000000</v>
      </c>
      <c r="Q41">
        <v>17.5</v>
      </c>
      <c r="R41">
        <v>23</v>
      </c>
      <c r="S41">
        <v>11</v>
      </c>
      <c r="T41">
        <v>10</v>
      </c>
      <c r="U41">
        <v>10</v>
      </c>
      <c r="V41">
        <v>15700</v>
      </c>
      <c r="W41">
        <v>4</v>
      </c>
      <c r="X41">
        <v>1</v>
      </c>
    </row>
    <row r="42" spans="1:24" x14ac:dyDescent="0.4">
      <c r="A42" t="s">
        <v>60</v>
      </c>
      <c r="B42">
        <v>8.8888888888888892E-2</v>
      </c>
      <c r="C42">
        <v>8.678237650200267E-3</v>
      </c>
      <c r="D42">
        <v>0.48</v>
      </c>
      <c r="E42">
        <v>4.1322314049586778E-2</v>
      </c>
      <c r="F42">
        <v>0.4</v>
      </c>
      <c r="G42">
        <v>0.18367346938775511</v>
      </c>
      <c r="H42">
        <v>8.4249084249084255E-2</v>
      </c>
      <c r="I42">
        <v>5.7879656160458447E-2</v>
      </c>
      <c r="J42">
        <v>0.2857142857142857</v>
      </c>
      <c r="K42">
        <v>0</v>
      </c>
      <c r="L42">
        <f t="shared" si="0"/>
        <v>16.035602739382838</v>
      </c>
      <c r="O42">
        <v>4</v>
      </c>
      <c r="P42">
        <v>150000000</v>
      </c>
      <c r="Q42">
        <v>37.5</v>
      </c>
      <c r="R42">
        <v>18</v>
      </c>
      <c r="S42">
        <v>20</v>
      </c>
      <c r="T42">
        <v>20</v>
      </c>
      <c r="U42">
        <v>50</v>
      </c>
      <c r="V42">
        <v>10600</v>
      </c>
      <c r="W42">
        <v>4</v>
      </c>
      <c r="X42">
        <v>1</v>
      </c>
    </row>
    <row r="43" spans="1:24" x14ac:dyDescent="0.4">
      <c r="A43" t="s">
        <v>61</v>
      </c>
      <c r="B43">
        <v>4.4444444444444453E-2</v>
      </c>
      <c r="C43">
        <v>8.678237650200267E-3</v>
      </c>
      <c r="D43">
        <v>0.24</v>
      </c>
      <c r="E43">
        <v>6.1983471074380167E-2</v>
      </c>
      <c r="F43">
        <v>0.84444444444444444</v>
      </c>
      <c r="G43">
        <v>0.1326530612244898</v>
      </c>
      <c r="H43">
        <v>2.0146520146520151E-2</v>
      </c>
      <c r="I43">
        <v>5.730659025787966E-2</v>
      </c>
      <c r="J43">
        <v>0.2857142857142857</v>
      </c>
      <c r="K43">
        <v>0</v>
      </c>
      <c r="L43">
        <f t="shared" si="0"/>
        <v>15.136611262690325</v>
      </c>
      <c r="O43">
        <v>2</v>
      </c>
      <c r="P43">
        <v>150000000</v>
      </c>
      <c r="Q43">
        <v>22.5</v>
      </c>
      <c r="R43">
        <v>23</v>
      </c>
      <c r="S43">
        <v>40</v>
      </c>
      <c r="T43">
        <v>15</v>
      </c>
      <c r="U43">
        <v>15</v>
      </c>
      <c r="V43">
        <v>10500</v>
      </c>
      <c r="W43">
        <v>4</v>
      </c>
      <c r="X43">
        <v>1</v>
      </c>
    </row>
    <row r="44" spans="1:24" x14ac:dyDescent="0.4">
      <c r="A44" t="s">
        <v>62</v>
      </c>
      <c r="B44">
        <v>0.1111111111111111</v>
      </c>
      <c r="C44">
        <v>6.5420560747663545E-2</v>
      </c>
      <c r="D44">
        <v>0.4</v>
      </c>
      <c r="E44">
        <v>0.38016528925619841</v>
      </c>
      <c r="F44">
        <v>0.53333333333333333</v>
      </c>
      <c r="G44">
        <v>0.23469387755102039</v>
      </c>
      <c r="H44">
        <v>6.5934065934065936E-2</v>
      </c>
      <c r="I44">
        <v>5.1575931232091692E-2</v>
      </c>
      <c r="J44">
        <v>0.5714285714285714</v>
      </c>
      <c r="K44">
        <v>0</v>
      </c>
      <c r="L44">
        <f t="shared" si="0"/>
        <v>23.499250418087275</v>
      </c>
      <c r="O44">
        <v>5</v>
      </c>
      <c r="P44">
        <v>1000000000</v>
      </c>
      <c r="Q44">
        <v>32.5</v>
      </c>
      <c r="R44">
        <v>100</v>
      </c>
      <c r="S44">
        <v>26</v>
      </c>
      <c r="T44">
        <v>25</v>
      </c>
      <c r="U44">
        <v>40</v>
      </c>
      <c r="V44">
        <v>9500</v>
      </c>
      <c r="W44">
        <v>6</v>
      </c>
      <c r="X44">
        <v>1</v>
      </c>
    </row>
    <row r="45" spans="1:24" x14ac:dyDescent="0.4">
      <c r="A45" t="s">
        <v>63</v>
      </c>
      <c r="B45">
        <v>0</v>
      </c>
      <c r="C45">
        <v>2.7369826435246991E-2</v>
      </c>
      <c r="D45">
        <v>0.08</v>
      </c>
      <c r="E45">
        <v>4.1322314049586778E-2</v>
      </c>
      <c r="F45">
        <v>0.2</v>
      </c>
      <c r="G45">
        <v>8.1632653061224483E-2</v>
      </c>
      <c r="H45">
        <v>1.098901098901099E-2</v>
      </c>
      <c r="I45">
        <v>1.5186246418338109E-2</v>
      </c>
      <c r="J45">
        <v>0.42857142857142849</v>
      </c>
      <c r="K45">
        <v>0</v>
      </c>
      <c r="L45">
        <f t="shared" si="0"/>
        <v>7.4320122976670646</v>
      </c>
      <c r="O45">
        <v>0</v>
      </c>
      <c r="P45">
        <v>430000000</v>
      </c>
      <c r="Q45">
        <v>12.5</v>
      </c>
      <c r="R45">
        <v>18</v>
      </c>
      <c r="S45">
        <v>11</v>
      </c>
      <c r="T45">
        <v>10</v>
      </c>
      <c r="U45">
        <v>10</v>
      </c>
      <c r="V45">
        <v>3150</v>
      </c>
      <c r="W45">
        <v>5</v>
      </c>
      <c r="X45">
        <v>1</v>
      </c>
    </row>
    <row r="46" spans="1:24" x14ac:dyDescent="0.4">
      <c r="A46" t="s">
        <v>64</v>
      </c>
      <c r="B46">
        <v>0</v>
      </c>
      <c r="C46">
        <v>2.002670226969293E-3</v>
      </c>
      <c r="D46">
        <v>0.08</v>
      </c>
      <c r="E46">
        <v>2.0661157024793389E-2</v>
      </c>
      <c r="F46">
        <v>0.33333333333333331</v>
      </c>
      <c r="G46">
        <v>8.1632653061224483E-2</v>
      </c>
      <c r="H46">
        <v>1.098901098901099E-2</v>
      </c>
      <c r="I46">
        <v>6.8767908309455587E-3</v>
      </c>
      <c r="J46">
        <v>0.2857142857142857</v>
      </c>
      <c r="K46">
        <v>0</v>
      </c>
      <c r="L46">
        <f t="shared" si="0"/>
        <v>6.8798635608377383</v>
      </c>
      <c r="O46">
        <v>0</v>
      </c>
      <c r="P46">
        <v>50000000</v>
      </c>
      <c r="Q46">
        <v>12.5</v>
      </c>
      <c r="R46">
        <v>13</v>
      </c>
      <c r="S46">
        <v>17</v>
      </c>
      <c r="T46">
        <v>10</v>
      </c>
      <c r="U46">
        <v>10</v>
      </c>
      <c r="V46">
        <v>1700</v>
      </c>
      <c r="W46">
        <v>4</v>
      </c>
      <c r="X46">
        <v>1</v>
      </c>
    </row>
    <row r="47" spans="1:24" x14ac:dyDescent="0.4">
      <c r="A47" t="s">
        <v>65</v>
      </c>
      <c r="B47">
        <v>4.4444444444444453E-2</v>
      </c>
      <c r="C47">
        <v>8.678237650200267E-3</v>
      </c>
      <c r="D47">
        <v>0.24</v>
      </c>
      <c r="E47">
        <v>7.8512396694214878E-2</v>
      </c>
      <c r="F47">
        <v>0.24444444444444441</v>
      </c>
      <c r="G47">
        <v>0.1326530612244898</v>
      </c>
      <c r="H47">
        <v>3.8461538461538457E-2</v>
      </c>
      <c r="I47">
        <v>2.5787965616045849E-2</v>
      </c>
      <c r="J47">
        <v>0.42857142857142849</v>
      </c>
      <c r="K47">
        <v>0</v>
      </c>
      <c r="L47">
        <f t="shared" si="0"/>
        <v>11.465959556143854</v>
      </c>
      <c r="O47">
        <v>2</v>
      </c>
      <c r="P47">
        <v>150000000</v>
      </c>
      <c r="Q47">
        <v>22.5</v>
      </c>
      <c r="R47">
        <v>27</v>
      </c>
      <c r="S47">
        <v>13</v>
      </c>
      <c r="T47">
        <v>15</v>
      </c>
      <c r="U47">
        <v>25</v>
      </c>
      <c r="V47">
        <v>5000</v>
      </c>
      <c r="W47">
        <v>5</v>
      </c>
      <c r="X47">
        <v>1</v>
      </c>
    </row>
    <row r="48" spans="1:24" x14ac:dyDescent="0.4">
      <c r="A48" t="s">
        <v>66</v>
      </c>
      <c r="B48">
        <v>0</v>
      </c>
      <c r="C48">
        <v>5.3404539385847804E-3</v>
      </c>
      <c r="D48">
        <v>0.16</v>
      </c>
      <c r="E48">
        <v>4.9586776859504127E-2</v>
      </c>
      <c r="F48">
        <v>0.8666666666666667</v>
      </c>
      <c r="G48">
        <v>8.1632653061224483E-2</v>
      </c>
      <c r="H48">
        <v>1.098901098901099E-2</v>
      </c>
      <c r="I48">
        <v>5.6160458452722058E-2</v>
      </c>
      <c r="J48">
        <v>0.2857142857142857</v>
      </c>
      <c r="K48">
        <v>0</v>
      </c>
      <c r="L48">
        <f t="shared" si="0"/>
        <v>12.887960411034532</v>
      </c>
      <c r="O48">
        <v>0</v>
      </c>
      <c r="P48">
        <v>100000000</v>
      </c>
      <c r="Q48">
        <v>17.5</v>
      </c>
      <c r="R48">
        <v>20</v>
      </c>
      <c r="S48">
        <v>41</v>
      </c>
      <c r="T48">
        <v>10</v>
      </c>
      <c r="U48">
        <v>10</v>
      </c>
      <c r="V48">
        <v>10300</v>
      </c>
      <c r="W48">
        <v>4</v>
      </c>
      <c r="X48">
        <v>1</v>
      </c>
    </row>
    <row r="49" spans="1:24" x14ac:dyDescent="0.4">
      <c r="A49" t="s">
        <v>67</v>
      </c>
      <c r="B49">
        <v>2.222222222222222E-2</v>
      </c>
      <c r="C49">
        <v>2.002670226969293E-3</v>
      </c>
      <c r="D49">
        <v>0.16</v>
      </c>
      <c r="E49">
        <v>5.9917355371900828E-2</v>
      </c>
      <c r="F49">
        <v>0.8</v>
      </c>
      <c r="G49">
        <v>8.1632653061224483E-2</v>
      </c>
      <c r="H49">
        <v>2.0146520146520151E-2</v>
      </c>
      <c r="I49">
        <v>6.2464183381088827E-2</v>
      </c>
      <c r="J49">
        <v>0.42857142857142849</v>
      </c>
      <c r="K49">
        <v>0</v>
      </c>
      <c r="L49">
        <f t="shared" si="0"/>
        <v>13.913878839645932</v>
      </c>
      <c r="O49">
        <v>1</v>
      </c>
      <c r="P49">
        <v>50000000</v>
      </c>
      <c r="Q49">
        <v>17.5</v>
      </c>
      <c r="R49">
        <v>22.5</v>
      </c>
      <c r="S49">
        <v>38</v>
      </c>
      <c r="T49">
        <v>10</v>
      </c>
      <c r="U49">
        <v>15</v>
      </c>
      <c r="V49">
        <v>11400</v>
      </c>
      <c r="W49">
        <v>5</v>
      </c>
      <c r="X49">
        <v>1</v>
      </c>
    </row>
    <row r="50" spans="1:24" x14ac:dyDescent="0.4">
      <c r="A50" t="s">
        <v>68</v>
      </c>
      <c r="B50">
        <v>0</v>
      </c>
      <c r="C50">
        <v>6.6755674232309744E-4</v>
      </c>
      <c r="D50">
        <v>0.08</v>
      </c>
      <c r="E50">
        <v>2.0661157024793389E-2</v>
      </c>
      <c r="F50">
        <v>0.26666666666666672</v>
      </c>
      <c r="G50">
        <v>8.1632653061224483E-2</v>
      </c>
      <c r="H50">
        <v>7.326007326007326E-3</v>
      </c>
      <c r="I50">
        <v>2.148997134670487E-2</v>
      </c>
      <c r="J50">
        <v>0.2857142857142857</v>
      </c>
      <c r="K50">
        <v>0</v>
      </c>
      <c r="L50">
        <f t="shared" si="0"/>
        <v>6.4107842731846887</v>
      </c>
      <c r="O50">
        <v>0</v>
      </c>
      <c r="P50">
        <v>30000000</v>
      </c>
      <c r="Q50">
        <v>12.5</v>
      </c>
      <c r="R50">
        <v>13</v>
      </c>
      <c r="S50">
        <v>14</v>
      </c>
      <c r="T50">
        <v>10</v>
      </c>
      <c r="U50">
        <v>8</v>
      </c>
      <c r="V50">
        <v>4250</v>
      </c>
      <c r="W50">
        <v>4</v>
      </c>
      <c r="X50">
        <v>1</v>
      </c>
    </row>
    <row r="51" spans="1:24" x14ac:dyDescent="0.4">
      <c r="A51" t="s">
        <v>69</v>
      </c>
      <c r="B51">
        <v>8.8888888888888892E-2</v>
      </c>
      <c r="C51">
        <v>1.535380507343124E-2</v>
      </c>
      <c r="D51">
        <v>0.48</v>
      </c>
      <c r="E51">
        <v>0.15289256198347109</v>
      </c>
      <c r="F51">
        <v>0.44444444444444442</v>
      </c>
      <c r="G51">
        <v>0.18367346938775511</v>
      </c>
      <c r="H51">
        <v>5.6776556776556783E-2</v>
      </c>
      <c r="I51">
        <v>0.1048710601719198</v>
      </c>
      <c r="J51">
        <v>0.42857142857142849</v>
      </c>
      <c r="K51">
        <v>0.22222222222222221</v>
      </c>
      <c r="L51">
        <f t="shared" si="0"/>
        <v>20.244647369923527</v>
      </c>
      <c r="O51">
        <v>4</v>
      </c>
      <c r="P51">
        <v>250000000</v>
      </c>
      <c r="Q51">
        <v>37.5</v>
      </c>
      <c r="R51">
        <v>45</v>
      </c>
      <c r="S51">
        <v>22</v>
      </c>
      <c r="T51">
        <v>20</v>
      </c>
      <c r="U51">
        <v>35</v>
      </c>
      <c r="V51">
        <v>18800</v>
      </c>
      <c r="W51">
        <v>5</v>
      </c>
      <c r="X51">
        <v>3</v>
      </c>
    </row>
    <row r="52" spans="1:24" x14ac:dyDescent="0.4">
      <c r="A52" t="s">
        <v>70</v>
      </c>
      <c r="B52">
        <v>0</v>
      </c>
      <c r="C52">
        <v>2.002670226969293E-3</v>
      </c>
      <c r="D52">
        <v>0.16</v>
      </c>
      <c r="E52">
        <v>4.1322314049586778E-2</v>
      </c>
      <c r="F52">
        <v>0.46666666666666667</v>
      </c>
      <c r="G52">
        <v>8.1632653061224483E-2</v>
      </c>
      <c r="H52">
        <v>1.098901098901099E-2</v>
      </c>
      <c r="I52">
        <v>8.5959885386819479E-2</v>
      </c>
      <c r="J52">
        <v>0.2857142857142857</v>
      </c>
      <c r="K52">
        <v>0</v>
      </c>
      <c r="L52">
        <f t="shared" si="0"/>
        <v>9.7871288682489155</v>
      </c>
      <c r="O52">
        <v>0</v>
      </c>
      <c r="P52">
        <v>50000000</v>
      </c>
      <c r="Q52">
        <v>17.5</v>
      </c>
      <c r="R52">
        <v>18</v>
      </c>
      <c r="S52">
        <v>23</v>
      </c>
      <c r="T52">
        <v>10</v>
      </c>
      <c r="U52">
        <v>10</v>
      </c>
      <c r="V52">
        <v>15500</v>
      </c>
      <c r="W52">
        <v>4</v>
      </c>
      <c r="X52">
        <v>1</v>
      </c>
    </row>
    <row r="53" spans="1:24" x14ac:dyDescent="0.4">
      <c r="A53" t="s">
        <v>71</v>
      </c>
      <c r="B53">
        <v>0</v>
      </c>
      <c r="C53">
        <v>2.002670226969293E-3</v>
      </c>
      <c r="D53">
        <v>0.16</v>
      </c>
      <c r="E53">
        <v>6.1983471074380167E-2</v>
      </c>
      <c r="F53">
        <v>0.2</v>
      </c>
      <c r="G53">
        <v>8.1632653061224483E-2</v>
      </c>
      <c r="H53">
        <v>1.098901098901099E-2</v>
      </c>
      <c r="I53">
        <v>0.11461318051575931</v>
      </c>
      <c r="J53">
        <v>0.42857142857142849</v>
      </c>
      <c r="K53">
        <v>0</v>
      </c>
      <c r="L53">
        <f t="shared" si="0"/>
        <v>9.1309557802446228</v>
      </c>
      <c r="O53">
        <v>0</v>
      </c>
      <c r="P53">
        <v>50000000</v>
      </c>
      <c r="Q53">
        <v>17.5</v>
      </c>
      <c r="R53">
        <v>23</v>
      </c>
      <c r="S53">
        <v>11</v>
      </c>
      <c r="T53">
        <v>10</v>
      </c>
      <c r="U53">
        <v>10</v>
      </c>
      <c r="V53">
        <v>20500</v>
      </c>
      <c r="W53">
        <v>5</v>
      </c>
      <c r="X53">
        <v>1</v>
      </c>
    </row>
    <row r="54" spans="1:24" x14ac:dyDescent="0.4">
      <c r="A54" t="s">
        <v>72</v>
      </c>
      <c r="B54">
        <v>0.22222222222222221</v>
      </c>
      <c r="C54">
        <v>9.879839786381843E-2</v>
      </c>
      <c r="D54">
        <v>0.64</v>
      </c>
      <c r="E54">
        <v>0.48347107438016529</v>
      </c>
      <c r="F54">
        <v>0.73333333333333328</v>
      </c>
      <c r="G54">
        <v>0.38775510204081631</v>
      </c>
      <c r="H54">
        <v>8.4249084249084255E-2</v>
      </c>
      <c r="I54">
        <v>6.9627507163323776E-2</v>
      </c>
      <c r="J54">
        <v>0.5714285714285714</v>
      </c>
      <c r="K54">
        <v>0.22222222222222221</v>
      </c>
      <c r="L54">
        <f t="shared" si="0"/>
        <v>34.477628920466728</v>
      </c>
      <c r="O54">
        <v>10</v>
      </c>
      <c r="P54">
        <v>1500000000</v>
      </c>
      <c r="Q54">
        <v>47.5</v>
      </c>
      <c r="R54">
        <v>125</v>
      </c>
      <c r="S54">
        <v>35</v>
      </c>
      <c r="T54">
        <v>40</v>
      </c>
      <c r="U54">
        <v>50</v>
      </c>
      <c r="V54">
        <v>12650</v>
      </c>
      <c r="W54">
        <v>6</v>
      </c>
      <c r="X54">
        <v>3</v>
      </c>
    </row>
    <row r="55" spans="1:24" x14ac:dyDescent="0.4">
      <c r="A55" t="s">
        <v>73</v>
      </c>
      <c r="B55">
        <v>4.4444444444444453E-2</v>
      </c>
      <c r="C55">
        <v>8.678237650200267E-3</v>
      </c>
      <c r="D55">
        <v>0.24</v>
      </c>
      <c r="E55">
        <v>0.1115702479338843</v>
      </c>
      <c r="F55">
        <v>0.84444444444444444</v>
      </c>
      <c r="G55">
        <v>0.1326530612244898</v>
      </c>
      <c r="H55">
        <v>2.9304029304029301E-2</v>
      </c>
      <c r="I55">
        <v>9.2836676217765049E-2</v>
      </c>
      <c r="J55">
        <v>0.42857142857142849</v>
      </c>
      <c r="K55">
        <v>0.1111111111111111</v>
      </c>
      <c r="L55">
        <f t="shared" si="0"/>
        <v>17.774135030925216</v>
      </c>
      <c r="O55">
        <v>2</v>
      </c>
      <c r="P55">
        <v>150000000</v>
      </c>
      <c r="Q55">
        <v>22.5</v>
      </c>
      <c r="R55">
        <v>35</v>
      </c>
      <c r="S55">
        <v>40</v>
      </c>
      <c r="T55">
        <v>15</v>
      </c>
      <c r="U55">
        <v>20</v>
      </c>
      <c r="V55">
        <v>16700</v>
      </c>
      <c r="W55">
        <v>5</v>
      </c>
      <c r="X55">
        <v>2</v>
      </c>
    </row>
    <row r="56" spans="1:24" x14ac:dyDescent="0.4">
      <c r="A56" t="s">
        <v>74</v>
      </c>
      <c r="B56">
        <v>2.222222222222222E-2</v>
      </c>
      <c r="C56">
        <v>3.2042723631508681E-2</v>
      </c>
      <c r="D56">
        <v>0.32</v>
      </c>
      <c r="E56">
        <v>0.21487603305785119</v>
      </c>
      <c r="F56">
        <v>0.33333333333333331</v>
      </c>
      <c r="G56">
        <v>0.18367346938775511</v>
      </c>
      <c r="H56">
        <v>3.8461538461538457E-2</v>
      </c>
      <c r="I56">
        <v>0.17478510028653299</v>
      </c>
      <c r="J56">
        <v>0.42857142857142849</v>
      </c>
      <c r="K56">
        <v>0</v>
      </c>
      <c r="L56">
        <f t="shared" si="0"/>
        <v>16.422655961057515</v>
      </c>
      <c r="O56">
        <v>1</v>
      </c>
      <c r="P56">
        <v>500000000</v>
      </c>
      <c r="Q56">
        <v>27.5</v>
      </c>
      <c r="R56">
        <v>60</v>
      </c>
      <c r="S56">
        <v>17</v>
      </c>
      <c r="T56">
        <v>20</v>
      </c>
      <c r="U56">
        <v>25</v>
      </c>
      <c r="V56">
        <v>31000</v>
      </c>
      <c r="W56">
        <v>5</v>
      </c>
      <c r="X56">
        <v>1</v>
      </c>
    </row>
    <row r="57" spans="1:24" x14ac:dyDescent="0.4">
      <c r="A57" t="s">
        <v>75</v>
      </c>
      <c r="B57">
        <v>0</v>
      </c>
      <c r="C57">
        <v>2.002670226969293E-3</v>
      </c>
      <c r="D57">
        <v>0.08</v>
      </c>
      <c r="E57">
        <v>4.1322314049586778E-2</v>
      </c>
      <c r="F57">
        <v>0.44444444444444442</v>
      </c>
      <c r="G57">
        <v>8.1632653061224483E-2</v>
      </c>
      <c r="H57">
        <v>1.098901098901099E-2</v>
      </c>
      <c r="I57">
        <v>3.8681948424068767E-2</v>
      </c>
      <c r="J57">
        <v>0.42857142857142849</v>
      </c>
      <c r="K57">
        <v>0</v>
      </c>
      <c r="L57">
        <f t="shared" si="0"/>
        <v>9.2711275947691334</v>
      </c>
      <c r="O57">
        <v>0</v>
      </c>
      <c r="P57">
        <v>50000000</v>
      </c>
      <c r="Q57">
        <v>12.5</v>
      </c>
      <c r="R57">
        <v>18</v>
      </c>
      <c r="S57">
        <v>22</v>
      </c>
      <c r="T57">
        <v>10</v>
      </c>
      <c r="U57">
        <v>10</v>
      </c>
      <c r="V57">
        <v>7250</v>
      </c>
      <c r="W57">
        <v>5</v>
      </c>
      <c r="X57">
        <v>1</v>
      </c>
    </row>
    <row r="58" spans="1:24" x14ac:dyDescent="0.4">
      <c r="A58" t="s">
        <v>76</v>
      </c>
      <c r="B58">
        <v>2.222222222222222E-2</v>
      </c>
      <c r="C58">
        <v>5.3404539385847804E-3</v>
      </c>
      <c r="D58">
        <v>0.16</v>
      </c>
      <c r="E58">
        <v>7.0247933884297523E-2</v>
      </c>
      <c r="F58">
        <v>0.2</v>
      </c>
      <c r="G58">
        <v>0.1326530612244898</v>
      </c>
      <c r="H58">
        <v>1.098901098901099E-2</v>
      </c>
      <c r="I58">
        <v>0</v>
      </c>
      <c r="J58">
        <v>0.2857142857142857</v>
      </c>
      <c r="K58">
        <v>0</v>
      </c>
      <c r="L58">
        <f t="shared" si="0"/>
        <v>8.1968147093429291</v>
      </c>
      <c r="O58">
        <v>1</v>
      </c>
      <c r="P58">
        <v>100000000</v>
      </c>
      <c r="Q58">
        <v>17.5</v>
      </c>
      <c r="R58">
        <v>25</v>
      </c>
      <c r="S58">
        <v>11</v>
      </c>
      <c r="T58">
        <v>15</v>
      </c>
      <c r="U58">
        <v>10</v>
      </c>
      <c r="V58">
        <v>500</v>
      </c>
      <c r="W58">
        <v>4</v>
      </c>
      <c r="X58">
        <v>1</v>
      </c>
    </row>
    <row r="59" spans="1:24" x14ac:dyDescent="0.4">
      <c r="A59" t="s">
        <v>77</v>
      </c>
      <c r="B59">
        <v>0</v>
      </c>
      <c r="C59">
        <v>2.002670226969293E-3</v>
      </c>
      <c r="D59">
        <v>0.08</v>
      </c>
      <c r="E59">
        <v>2.0661157024793389E-2</v>
      </c>
      <c r="F59">
        <v>0.4</v>
      </c>
      <c r="G59">
        <v>8.1632653061224483E-2</v>
      </c>
      <c r="H59">
        <v>7.326007326007326E-3</v>
      </c>
      <c r="I59">
        <v>4.4126074498567328E-2</v>
      </c>
      <c r="J59">
        <v>0.2857142857142857</v>
      </c>
      <c r="K59">
        <v>0</v>
      </c>
      <c r="L59">
        <f t="shared" si="0"/>
        <v>7.6745611268820086</v>
      </c>
      <c r="O59">
        <v>0</v>
      </c>
      <c r="P59">
        <v>50000000</v>
      </c>
      <c r="Q59">
        <v>12.5</v>
      </c>
      <c r="R59">
        <v>13</v>
      </c>
      <c r="S59">
        <v>20</v>
      </c>
      <c r="T59">
        <v>10</v>
      </c>
      <c r="U59">
        <v>8</v>
      </c>
      <c r="V59">
        <v>8200</v>
      </c>
      <c r="W59">
        <v>4</v>
      </c>
      <c r="X59">
        <v>1</v>
      </c>
    </row>
    <row r="60" spans="1:24" x14ac:dyDescent="0.4">
      <c r="A60" t="s">
        <v>78</v>
      </c>
      <c r="B60">
        <v>0</v>
      </c>
      <c r="C60">
        <v>0</v>
      </c>
      <c r="D60">
        <v>0.16</v>
      </c>
      <c r="E60">
        <v>2.0661157024793389E-2</v>
      </c>
      <c r="F60">
        <v>0.24444444444444441</v>
      </c>
      <c r="G60">
        <v>8.1632653061224483E-2</v>
      </c>
      <c r="H60">
        <v>1.098901098901099E-2</v>
      </c>
      <c r="I60">
        <v>2.5787965616045849E-2</v>
      </c>
      <c r="J60">
        <v>0.2857142857142857</v>
      </c>
      <c r="K60">
        <v>0</v>
      </c>
      <c r="L60">
        <f t="shared" si="0"/>
        <v>7.2560098052837976</v>
      </c>
      <c r="O60">
        <v>0</v>
      </c>
      <c r="P60">
        <v>20000000</v>
      </c>
      <c r="Q60">
        <v>17.5</v>
      </c>
      <c r="R60">
        <v>13</v>
      </c>
      <c r="S60">
        <v>13</v>
      </c>
      <c r="T60">
        <v>10</v>
      </c>
      <c r="U60">
        <v>10</v>
      </c>
      <c r="V60">
        <v>5000</v>
      </c>
      <c r="W60">
        <v>4</v>
      </c>
      <c r="X60">
        <v>1</v>
      </c>
    </row>
    <row r="61" spans="1:24" x14ac:dyDescent="0.4">
      <c r="A61" t="s">
        <v>79</v>
      </c>
      <c r="B61">
        <v>0</v>
      </c>
      <c r="C61">
        <v>8.678237650200267E-3</v>
      </c>
      <c r="D61">
        <v>0.24</v>
      </c>
      <c r="E61">
        <v>9.0909090909090912E-2</v>
      </c>
      <c r="F61">
        <v>0.46666666666666667</v>
      </c>
      <c r="G61">
        <v>0.1326530612244898</v>
      </c>
      <c r="H61">
        <v>2.9304029304029301E-2</v>
      </c>
      <c r="I61">
        <v>0.19770773638968481</v>
      </c>
      <c r="J61">
        <v>0.42857142857142849</v>
      </c>
      <c r="K61">
        <v>0</v>
      </c>
      <c r="L61">
        <f t="shared" si="0"/>
        <v>14.0096140724475</v>
      </c>
      <c r="O61">
        <v>0</v>
      </c>
      <c r="P61">
        <v>150000000</v>
      </c>
      <c r="Q61">
        <v>22.5</v>
      </c>
      <c r="R61">
        <v>30</v>
      </c>
      <c r="S61">
        <v>23</v>
      </c>
      <c r="T61">
        <v>15</v>
      </c>
      <c r="U61">
        <v>20</v>
      </c>
      <c r="V61">
        <v>35000</v>
      </c>
      <c r="W61">
        <v>5</v>
      </c>
      <c r="X61">
        <v>1</v>
      </c>
    </row>
    <row r="62" spans="1:24" x14ac:dyDescent="0.4">
      <c r="A62" t="s">
        <v>80</v>
      </c>
      <c r="B62">
        <v>6.6666666666666666E-2</v>
      </c>
      <c r="C62">
        <v>1.8691588785046731E-2</v>
      </c>
      <c r="D62">
        <v>0.48</v>
      </c>
      <c r="E62">
        <v>0.56611570247933884</v>
      </c>
      <c r="F62">
        <v>0.37777777777777782</v>
      </c>
      <c r="G62">
        <v>0.2857142857142857</v>
      </c>
      <c r="H62">
        <v>5.6776556776556783E-2</v>
      </c>
      <c r="I62">
        <v>0.16905444126074501</v>
      </c>
      <c r="J62">
        <v>0.42857142857142849</v>
      </c>
      <c r="K62">
        <v>0</v>
      </c>
      <c r="L62">
        <f t="shared" si="0"/>
        <v>24.577253672389237</v>
      </c>
      <c r="O62">
        <v>3</v>
      </c>
      <c r="P62">
        <v>300000000</v>
      </c>
      <c r="Q62">
        <v>37.5</v>
      </c>
      <c r="R62">
        <v>145</v>
      </c>
      <c r="S62">
        <v>19</v>
      </c>
      <c r="T62">
        <v>30</v>
      </c>
      <c r="U62">
        <v>35</v>
      </c>
      <c r="V62">
        <v>30000</v>
      </c>
      <c r="W62">
        <v>5</v>
      </c>
      <c r="X62">
        <v>1</v>
      </c>
    </row>
    <row r="63" spans="1:24" x14ac:dyDescent="0.4">
      <c r="A63" t="s">
        <v>81</v>
      </c>
      <c r="B63">
        <v>6.6666666666666666E-2</v>
      </c>
      <c r="C63">
        <v>4.5393858477970631E-2</v>
      </c>
      <c r="D63">
        <v>0.32</v>
      </c>
      <c r="E63">
        <v>0.1115702479338843</v>
      </c>
      <c r="F63">
        <v>0.51111111111111107</v>
      </c>
      <c r="G63">
        <v>0.2857142857142857</v>
      </c>
      <c r="H63">
        <v>3.8461538461538457E-2</v>
      </c>
      <c r="I63">
        <v>5.4441260744985683E-2</v>
      </c>
      <c r="J63">
        <v>0.2857142857142857</v>
      </c>
      <c r="K63">
        <v>0</v>
      </c>
      <c r="L63">
        <f t="shared" si="0"/>
        <v>16.489746493549269</v>
      </c>
      <c r="O63">
        <v>3</v>
      </c>
      <c r="P63">
        <v>700000000</v>
      </c>
      <c r="Q63">
        <v>27.5</v>
      </c>
      <c r="R63">
        <v>35</v>
      </c>
      <c r="S63">
        <v>25</v>
      </c>
      <c r="T63">
        <v>30</v>
      </c>
      <c r="U63">
        <v>25</v>
      </c>
      <c r="V63">
        <v>10000</v>
      </c>
      <c r="W63">
        <v>4</v>
      </c>
      <c r="X63">
        <v>1</v>
      </c>
    </row>
    <row r="64" spans="1:24" x14ac:dyDescent="0.4">
      <c r="A64" t="s">
        <v>82</v>
      </c>
      <c r="B64">
        <v>0</v>
      </c>
      <c r="C64">
        <v>8.678237650200267E-3</v>
      </c>
      <c r="D64">
        <v>0.4</v>
      </c>
      <c r="E64">
        <v>0.1735537190082645</v>
      </c>
      <c r="F64">
        <v>0.51111111111111107</v>
      </c>
      <c r="G64">
        <v>0.23469387755102039</v>
      </c>
      <c r="H64">
        <v>6.5934065934065936E-2</v>
      </c>
      <c r="I64">
        <v>2.8653295128939832E-3</v>
      </c>
      <c r="J64">
        <v>0.42857142857142849</v>
      </c>
      <c r="K64">
        <v>0.1111111111111111</v>
      </c>
      <c r="L64">
        <f t="shared" si="0"/>
        <v>17.771541106411146</v>
      </c>
      <c r="O64">
        <v>0</v>
      </c>
      <c r="P64">
        <v>150000000</v>
      </c>
      <c r="Q64">
        <v>32.5</v>
      </c>
      <c r="R64">
        <v>50</v>
      </c>
      <c r="S64">
        <v>25</v>
      </c>
      <c r="T64">
        <v>25</v>
      </c>
      <c r="U64">
        <v>40</v>
      </c>
      <c r="V64">
        <v>1000</v>
      </c>
      <c r="W64">
        <v>5</v>
      </c>
      <c r="X64">
        <v>2</v>
      </c>
    </row>
    <row r="65" spans="1:24" x14ac:dyDescent="0.4">
      <c r="A65" t="s">
        <v>83</v>
      </c>
      <c r="B65">
        <v>0</v>
      </c>
      <c r="C65">
        <v>8.678237650200267E-3</v>
      </c>
      <c r="D65">
        <v>0.24</v>
      </c>
      <c r="E65">
        <v>0.1735537190082645</v>
      </c>
      <c r="F65">
        <v>0.24444444444444441</v>
      </c>
      <c r="G65">
        <v>0.33673469387755101</v>
      </c>
      <c r="H65">
        <v>4.7619047619047623E-2</v>
      </c>
      <c r="I65">
        <v>5.4441260744985683E-2</v>
      </c>
      <c r="J65">
        <v>0.42857142857142849</v>
      </c>
      <c r="K65">
        <v>0</v>
      </c>
      <c r="L65">
        <f t="shared" si="0"/>
        <v>14.301406536383004</v>
      </c>
      <c r="O65">
        <v>0</v>
      </c>
      <c r="P65">
        <v>150000000</v>
      </c>
      <c r="Q65">
        <v>22.5</v>
      </c>
      <c r="R65">
        <v>50</v>
      </c>
      <c r="S65">
        <v>13</v>
      </c>
      <c r="T65">
        <v>35</v>
      </c>
      <c r="U65">
        <v>30</v>
      </c>
      <c r="V65">
        <v>10000</v>
      </c>
      <c r="W65">
        <v>5</v>
      </c>
      <c r="X65">
        <v>1</v>
      </c>
    </row>
    <row r="66" spans="1:24" x14ac:dyDescent="0.4">
      <c r="A66" t="s">
        <v>84</v>
      </c>
      <c r="B66">
        <v>0</v>
      </c>
      <c r="C66">
        <v>5.3404539385847804E-3</v>
      </c>
      <c r="D66">
        <v>0.24</v>
      </c>
      <c r="E66">
        <v>0.1115702479338843</v>
      </c>
      <c r="F66">
        <v>0.22222222222222221</v>
      </c>
      <c r="G66">
        <v>0.18367346938775511</v>
      </c>
      <c r="H66">
        <v>3.8461538461538457E-2</v>
      </c>
      <c r="I66">
        <v>8.5959885386819486E-3</v>
      </c>
      <c r="J66">
        <v>0.42857142857142849</v>
      </c>
      <c r="K66">
        <v>0</v>
      </c>
      <c r="L66">
        <f t="shared" si="0"/>
        <v>11.350824187049797</v>
      </c>
      <c r="O66">
        <v>0</v>
      </c>
      <c r="P66">
        <v>100000000</v>
      </c>
      <c r="Q66">
        <v>22.5</v>
      </c>
      <c r="R66">
        <v>35</v>
      </c>
      <c r="S66">
        <v>12</v>
      </c>
      <c r="T66">
        <v>20</v>
      </c>
      <c r="U66">
        <v>25</v>
      </c>
      <c r="V66">
        <v>2000</v>
      </c>
      <c r="W66">
        <v>5</v>
      </c>
      <c r="X66">
        <v>1</v>
      </c>
    </row>
    <row r="67" spans="1:24" x14ac:dyDescent="0.4">
      <c r="A67" t="s">
        <v>85</v>
      </c>
      <c r="B67">
        <v>0</v>
      </c>
      <c r="C67">
        <v>5.3404539385847804E-3</v>
      </c>
      <c r="D67">
        <v>0.08</v>
      </c>
      <c r="E67">
        <v>4.1322314049586778E-2</v>
      </c>
      <c r="F67">
        <v>0.35555555555555562</v>
      </c>
      <c r="G67">
        <v>8.1632653061224483E-2</v>
      </c>
      <c r="H67">
        <v>1.098901098901099E-2</v>
      </c>
      <c r="I67">
        <v>3.2664756446991412E-2</v>
      </c>
      <c r="J67">
        <v>0.42857142857142849</v>
      </c>
      <c r="K67">
        <v>0</v>
      </c>
      <c r="L67">
        <f t="shared" ref="L67:L117" si="1">(B67*15%+C67*12%+D67*12%+E67*12%+F67*8%+G67*10%+H67*10%+I67*8%+J67*7%+K67*6%)*100</f>
        <v>8.5519323523807902</v>
      </c>
      <c r="O67">
        <v>0</v>
      </c>
      <c r="P67">
        <v>100000000</v>
      </c>
      <c r="Q67">
        <v>12.5</v>
      </c>
      <c r="R67">
        <v>18</v>
      </c>
      <c r="S67">
        <v>18</v>
      </c>
      <c r="T67">
        <v>10</v>
      </c>
      <c r="U67">
        <v>10</v>
      </c>
      <c r="V67">
        <v>6200</v>
      </c>
      <c r="W67">
        <v>5</v>
      </c>
      <c r="X67">
        <v>1</v>
      </c>
    </row>
    <row r="68" spans="1:24" x14ac:dyDescent="0.4">
      <c r="A68" t="s">
        <v>86</v>
      </c>
      <c r="B68">
        <v>0</v>
      </c>
      <c r="C68">
        <v>5.3404539385847804E-3</v>
      </c>
      <c r="D68">
        <v>0.08</v>
      </c>
      <c r="E68">
        <v>2.0661157024793389E-2</v>
      </c>
      <c r="F68">
        <v>0.26666666666666672</v>
      </c>
      <c r="G68">
        <v>0.18367346938775511</v>
      </c>
      <c r="H68">
        <v>1.098901098901099E-2</v>
      </c>
      <c r="I68">
        <v>2.0916905444126079E-2</v>
      </c>
      <c r="J68">
        <v>0.2857142857142857</v>
      </c>
      <c r="K68">
        <v>0</v>
      </c>
      <c r="L68">
        <f t="shared" si="1"/>
        <v>7.5193127122145418</v>
      </c>
      <c r="O68">
        <v>0</v>
      </c>
      <c r="P68">
        <v>100000000</v>
      </c>
      <c r="Q68">
        <v>12.5</v>
      </c>
      <c r="R68">
        <v>13</v>
      </c>
      <c r="S68">
        <v>14</v>
      </c>
      <c r="T68">
        <v>20</v>
      </c>
      <c r="U68">
        <v>10</v>
      </c>
      <c r="V68">
        <v>4150</v>
      </c>
      <c r="W68">
        <v>4</v>
      </c>
      <c r="X68">
        <v>1</v>
      </c>
    </row>
    <row r="69" spans="1:24" x14ac:dyDescent="0.4">
      <c r="A69" t="s">
        <v>87</v>
      </c>
      <c r="B69">
        <v>0</v>
      </c>
      <c r="C69">
        <v>2.002670226969293E-3</v>
      </c>
      <c r="D69">
        <v>0.08</v>
      </c>
      <c r="E69">
        <v>4.1322314049586778E-2</v>
      </c>
      <c r="F69">
        <v>0.42222222222222222</v>
      </c>
      <c r="G69">
        <v>8.1632653061224483E-2</v>
      </c>
      <c r="H69">
        <v>7.326007326007326E-3</v>
      </c>
      <c r="I69">
        <v>0.11461318051575931</v>
      </c>
      <c r="J69">
        <v>0.2857142857142857</v>
      </c>
      <c r="K69">
        <v>0</v>
      </c>
      <c r="L69">
        <f t="shared" si="1"/>
        <v>8.6641696370948438</v>
      </c>
      <c r="O69">
        <v>0</v>
      </c>
      <c r="P69">
        <v>50000000</v>
      </c>
      <c r="Q69">
        <v>12.5</v>
      </c>
      <c r="R69">
        <v>18</v>
      </c>
      <c r="S69">
        <v>21</v>
      </c>
      <c r="T69">
        <v>10</v>
      </c>
      <c r="U69">
        <v>8</v>
      </c>
      <c r="V69">
        <v>20500</v>
      </c>
      <c r="W69">
        <v>4</v>
      </c>
      <c r="X69">
        <v>1</v>
      </c>
    </row>
    <row r="70" spans="1:24" x14ac:dyDescent="0.4">
      <c r="A70" t="s">
        <v>88</v>
      </c>
      <c r="B70">
        <v>0</v>
      </c>
      <c r="C70">
        <v>5.3404539385847804E-3</v>
      </c>
      <c r="D70">
        <v>0.24</v>
      </c>
      <c r="E70">
        <v>9.0909090909090912E-2</v>
      </c>
      <c r="F70">
        <v>0.51111111111111107</v>
      </c>
      <c r="G70">
        <v>0.1326530612244898</v>
      </c>
      <c r="H70">
        <v>2.0146520146520151E-2</v>
      </c>
      <c r="I70">
        <v>2.5787965616045849E-2</v>
      </c>
      <c r="J70">
        <v>0.2857142857142857</v>
      </c>
      <c r="K70">
        <v>0</v>
      </c>
      <c r="L70">
        <f t="shared" si="1"/>
        <v>11.858182965699465</v>
      </c>
      <c r="O70">
        <v>0</v>
      </c>
      <c r="P70">
        <v>100000000</v>
      </c>
      <c r="Q70">
        <v>22.5</v>
      </c>
      <c r="R70">
        <v>30</v>
      </c>
      <c r="S70">
        <v>25</v>
      </c>
      <c r="T70">
        <v>15</v>
      </c>
      <c r="U70">
        <v>15</v>
      </c>
      <c r="V70">
        <v>5000</v>
      </c>
      <c r="W70">
        <v>4</v>
      </c>
      <c r="X70">
        <v>1</v>
      </c>
    </row>
    <row r="71" spans="1:24" x14ac:dyDescent="0.4">
      <c r="A71" t="s">
        <v>89</v>
      </c>
      <c r="B71">
        <v>0</v>
      </c>
      <c r="C71">
        <v>3.2042723631508681E-2</v>
      </c>
      <c r="D71">
        <v>0.16</v>
      </c>
      <c r="E71">
        <v>0.1115702479338843</v>
      </c>
      <c r="F71">
        <v>0.44444444444444442</v>
      </c>
      <c r="G71">
        <v>0.18367346938775511</v>
      </c>
      <c r="H71">
        <v>2.0146520146520151E-2</v>
      </c>
      <c r="I71">
        <v>2.5787965616045849E-2</v>
      </c>
      <c r="J71">
        <v>0.2857142857142857</v>
      </c>
      <c r="K71">
        <v>0</v>
      </c>
      <c r="L71">
        <f t="shared" si="1"/>
        <v>11.443414834611392</v>
      </c>
      <c r="O71">
        <v>0</v>
      </c>
      <c r="P71">
        <v>500000000</v>
      </c>
      <c r="Q71">
        <v>17.5</v>
      </c>
      <c r="R71">
        <v>35</v>
      </c>
      <c r="S71">
        <v>22</v>
      </c>
      <c r="T71">
        <v>20</v>
      </c>
      <c r="U71">
        <v>15</v>
      </c>
      <c r="V71">
        <v>5000</v>
      </c>
      <c r="W71">
        <v>4</v>
      </c>
      <c r="X71">
        <v>1</v>
      </c>
    </row>
    <row r="72" spans="1:24" x14ac:dyDescent="0.4">
      <c r="A72" t="s">
        <v>90</v>
      </c>
      <c r="B72">
        <v>2.222222222222222E-2</v>
      </c>
      <c r="C72">
        <v>5.3404539385847804E-3</v>
      </c>
      <c r="D72">
        <v>0.44</v>
      </c>
      <c r="E72">
        <v>4.9586776859504127E-2</v>
      </c>
      <c r="F72">
        <v>0.17777777777777781</v>
      </c>
      <c r="G72">
        <v>8.1632653061224483E-2</v>
      </c>
      <c r="H72">
        <v>1.465201465201465E-2</v>
      </c>
      <c r="I72">
        <v>8.3094555873925502E-2</v>
      </c>
      <c r="J72">
        <v>0.2857142857142857</v>
      </c>
      <c r="K72">
        <v>0.1111111111111111</v>
      </c>
      <c r="L72">
        <f t="shared" si="1"/>
        <v>11.988952115923086</v>
      </c>
      <c r="O72">
        <v>1</v>
      </c>
      <c r="P72">
        <v>100000000</v>
      </c>
      <c r="Q72">
        <v>35</v>
      </c>
      <c r="R72">
        <v>20</v>
      </c>
      <c r="S72">
        <v>10</v>
      </c>
      <c r="T72">
        <v>10</v>
      </c>
      <c r="U72">
        <v>12</v>
      </c>
      <c r="V72">
        <v>15000</v>
      </c>
      <c r="W72">
        <v>4</v>
      </c>
      <c r="X72">
        <v>2</v>
      </c>
    </row>
    <row r="73" spans="1:24" x14ac:dyDescent="0.4">
      <c r="A73" t="s">
        <v>91</v>
      </c>
      <c r="B73">
        <v>0</v>
      </c>
      <c r="C73">
        <v>2.6702269692923902E-3</v>
      </c>
      <c r="D73">
        <v>0.23200000000000001</v>
      </c>
      <c r="E73">
        <v>1.6528925619834711E-2</v>
      </c>
      <c r="F73">
        <v>0.15555555555555561</v>
      </c>
      <c r="G73">
        <v>2.0408163265306121E-2</v>
      </c>
      <c r="H73">
        <v>3.663003663003663E-3</v>
      </c>
      <c r="I73">
        <v>4.2979942693409739E-2</v>
      </c>
      <c r="J73">
        <v>0</v>
      </c>
      <c r="K73">
        <v>0</v>
      </c>
      <c r="L73">
        <f t="shared" si="1"/>
        <v>4.8433854863443457</v>
      </c>
      <c r="O73">
        <v>0</v>
      </c>
      <c r="P73">
        <v>60000000</v>
      </c>
      <c r="Q73">
        <v>22</v>
      </c>
      <c r="R73">
        <v>12</v>
      </c>
      <c r="S73">
        <v>9</v>
      </c>
      <c r="T73">
        <v>4</v>
      </c>
      <c r="U73">
        <v>6</v>
      </c>
      <c r="V73">
        <v>8000</v>
      </c>
      <c r="W73">
        <v>2</v>
      </c>
      <c r="X73">
        <v>1</v>
      </c>
    </row>
    <row r="74" spans="1:24" x14ac:dyDescent="0.4">
      <c r="A74" t="s">
        <v>92</v>
      </c>
      <c r="B74">
        <v>0</v>
      </c>
      <c r="C74">
        <v>2.002670226969293E-3</v>
      </c>
      <c r="D74">
        <v>0.16800000000000001</v>
      </c>
      <c r="E74">
        <v>8.2644628099173556E-3</v>
      </c>
      <c r="F74">
        <v>0.15555555555555561</v>
      </c>
      <c r="G74">
        <v>1.020408163265306E-2</v>
      </c>
      <c r="H74">
        <v>1.8315018315018319E-3</v>
      </c>
      <c r="I74">
        <v>3.7249283667621778E-2</v>
      </c>
      <c r="J74">
        <v>0</v>
      </c>
      <c r="K74">
        <v>0</v>
      </c>
      <c r="L74">
        <f t="shared" si="1"/>
        <v>3.8020001448696079</v>
      </c>
      <c r="O74">
        <v>0</v>
      </c>
      <c r="P74">
        <v>50000000</v>
      </c>
      <c r="Q74">
        <v>18</v>
      </c>
      <c r="R74">
        <v>10</v>
      </c>
      <c r="S74">
        <v>9</v>
      </c>
      <c r="T74">
        <v>3</v>
      </c>
      <c r="U74">
        <v>5</v>
      </c>
      <c r="V74">
        <v>7000</v>
      </c>
      <c r="W74">
        <v>2</v>
      </c>
      <c r="X74">
        <v>1</v>
      </c>
    </row>
    <row r="75" spans="1:24" x14ac:dyDescent="0.4">
      <c r="A75" t="s">
        <v>93</v>
      </c>
      <c r="B75">
        <v>0</v>
      </c>
      <c r="C75">
        <v>1.3351134846461951E-3</v>
      </c>
      <c r="D75">
        <v>7.1999999999999995E-2</v>
      </c>
      <c r="E75">
        <v>2.8925619834710741E-2</v>
      </c>
      <c r="F75">
        <v>6.6666666666666666E-2</v>
      </c>
      <c r="G75">
        <v>3.0612244897959179E-2</v>
      </c>
      <c r="H75">
        <v>5.4945054945054949E-3</v>
      </c>
      <c r="I75">
        <v>5.4441260744985683E-2</v>
      </c>
      <c r="J75">
        <v>0.14285714285714279</v>
      </c>
      <c r="K75">
        <v>0.1111111111111111</v>
      </c>
      <c r="L75">
        <f t="shared" si="1"/>
        <v>4.2237263897168154</v>
      </c>
      <c r="O75">
        <v>0</v>
      </c>
      <c r="P75">
        <v>40000000</v>
      </c>
      <c r="Q75">
        <v>12</v>
      </c>
      <c r="R75">
        <v>15</v>
      </c>
      <c r="S75">
        <v>5</v>
      </c>
      <c r="T75">
        <v>5</v>
      </c>
      <c r="U75">
        <v>7</v>
      </c>
      <c r="V75">
        <v>10000</v>
      </c>
      <c r="W75">
        <v>3</v>
      </c>
      <c r="X75">
        <v>2</v>
      </c>
    </row>
    <row r="76" spans="1:24" x14ac:dyDescent="0.4">
      <c r="A76" t="s">
        <v>94</v>
      </c>
      <c r="B76">
        <v>0</v>
      </c>
      <c r="C76">
        <v>2.6702269692923902E-3</v>
      </c>
      <c r="D76">
        <v>0.2</v>
      </c>
      <c r="E76">
        <v>2.8925619834710741E-2</v>
      </c>
      <c r="F76">
        <v>0.2</v>
      </c>
      <c r="G76">
        <v>4.0816326530612242E-2</v>
      </c>
      <c r="H76">
        <v>9.1575091575091579E-3</v>
      </c>
      <c r="I76">
        <v>6.5902578796561598E-2</v>
      </c>
      <c r="J76">
        <v>0.14285714285714279</v>
      </c>
      <c r="K76">
        <v>0.1111111111111111</v>
      </c>
      <c r="L76">
        <f t="shared" si="1"/>
        <v>7.0727758155684111</v>
      </c>
      <c r="O76">
        <v>0</v>
      </c>
      <c r="P76">
        <v>60000000</v>
      </c>
      <c r="Q76">
        <v>20</v>
      </c>
      <c r="R76">
        <v>15</v>
      </c>
      <c r="S76">
        <v>11</v>
      </c>
      <c r="T76">
        <v>6</v>
      </c>
      <c r="U76">
        <v>9</v>
      </c>
      <c r="V76">
        <v>12000</v>
      </c>
      <c r="W76">
        <v>3</v>
      </c>
      <c r="X76">
        <v>2</v>
      </c>
    </row>
    <row r="77" spans="1:24" x14ac:dyDescent="0.4">
      <c r="A77" t="s">
        <v>95</v>
      </c>
      <c r="B77">
        <v>2.222222222222222E-2</v>
      </c>
      <c r="C77">
        <v>4.0053404539385851E-3</v>
      </c>
      <c r="D77">
        <v>0.28000000000000003</v>
      </c>
      <c r="E77">
        <v>4.1322314049586778E-2</v>
      </c>
      <c r="F77">
        <v>0.22222222222222221</v>
      </c>
      <c r="G77">
        <v>6.1224489795918373E-2</v>
      </c>
      <c r="H77">
        <v>1.282051282051282E-2</v>
      </c>
      <c r="I77">
        <v>7.7363896848137534E-2</v>
      </c>
      <c r="J77">
        <v>0.2857142857142857</v>
      </c>
      <c r="K77">
        <v>0.1111111111111111</v>
      </c>
      <c r="L77">
        <f t="shared" si="1"/>
        <v>10.041070832769496</v>
      </c>
      <c r="O77">
        <v>1</v>
      </c>
      <c r="P77">
        <v>80000000</v>
      </c>
      <c r="Q77">
        <v>25</v>
      </c>
      <c r="R77">
        <v>18</v>
      </c>
      <c r="S77">
        <v>12</v>
      </c>
      <c r="T77">
        <v>8</v>
      </c>
      <c r="U77">
        <v>11</v>
      </c>
      <c r="V77">
        <v>14000</v>
      </c>
      <c r="W77">
        <v>4</v>
      </c>
      <c r="X77">
        <v>2</v>
      </c>
    </row>
    <row r="78" spans="1:24" x14ac:dyDescent="0.4">
      <c r="A78" t="s">
        <v>96</v>
      </c>
      <c r="B78">
        <v>4.4444444444444453E-2</v>
      </c>
      <c r="C78">
        <v>8.678237650200267E-3</v>
      </c>
      <c r="D78">
        <v>0.39200000000000002</v>
      </c>
      <c r="E78">
        <v>9.0909090909090912E-2</v>
      </c>
      <c r="F78">
        <v>0.48888888888888887</v>
      </c>
      <c r="G78">
        <v>0.1020408163265306</v>
      </c>
      <c r="H78">
        <v>2.564102564102564E-2</v>
      </c>
      <c r="I78">
        <v>0.1117478510028653</v>
      </c>
      <c r="J78">
        <v>0.42857142857142849</v>
      </c>
      <c r="K78">
        <v>0.22222222222222221</v>
      </c>
      <c r="L78">
        <f t="shared" si="1"/>
        <v>16.980960281521089</v>
      </c>
      <c r="O78">
        <v>2</v>
      </c>
      <c r="P78">
        <v>150000000</v>
      </c>
      <c r="Q78">
        <v>32</v>
      </c>
      <c r="R78">
        <v>30</v>
      </c>
      <c r="S78">
        <v>24</v>
      </c>
      <c r="T78">
        <v>12</v>
      </c>
      <c r="U78">
        <v>18</v>
      </c>
      <c r="V78">
        <v>20000</v>
      </c>
      <c r="W78">
        <v>5</v>
      </c>
      <c r="X78">
        <v>3</v>
      </c>
    </row>
    <row r="79" spans="1:24" x14ac:dyDescent="0.4">
      <c r="A79" t="s">
        <v>97</v>
      </c>
      <c r="B79">
        <v>6.6666666666666666E-2</v>
      </c>
      <c r="C79">
        <v>1.2016021361815749E-2</v>
      </c>
      <c r="D79">
        <v>0.48799999999999999</v>
      </c>
      <c r="E79">
        <v>0.1115702479338843</v>
      </c>
      <c r="F79">
        <v>0.88888888888888884</v>
      </c>
      <c r="G79">
        <v>0.1326530612244898</v>
      </c>
      <c r="H79">
        <v>2.9304029304029301E-2</v>
      </c>
      <c r="I79">
        <v>0.14040114613180521</v>
      </c>
      <c r="J79">
        <v>0.5714285714285714</v>
      </c>
      <c r="K79">
        <v>0.22222222222222221</v>
      </c>
      <c r="L79">
        <f t="shared" si="1"/>
        <v>23.526259750332475</v>
      </c>
      <c r="O79">
        <v>3</v>
      </c>
      <c r="P79">
        <v>200000000</v>
      </c>
      <c r="Q79">
        <v>38</v>
      </c>
      <c r="R79">
        <v>35</v>
      </c>
      <c r="S79">
        <v>42</v>
      </c>
      <c r="T79">
        <v>15</v>
      </c>
      <c r="U79">
        <v>20</v>
      </c>
      <c r="V79">
        <v>25000</v>
      </c>
      <c r="W79">
        <v>6</v>
      </c>
      <c r="X79">
        <v>3</v>
      </c>
    </row>
    <row r="80" spans="1:24" x14ac:dyDescent="0.4">
      <c r="A80" t="s">
        <v>98</v>
      </c>
      <c r="B80">
        <v>0</v>
      </c>
      <c r="C80">
        <v>2.002670226969293E-3</v>
      </c>
      <c r="D80">
        <v>0.12</v>
      </c>
      <c r="E80">
        <v>0</v>
      </c>
      <c r="F80">
        <v>0.42222222222222222</v>
      </c>
      <c r="G80">
        <v>2.0408163265306121E-2</v>
      </c>
      <c r="H80">
        <v>3.663003663003663E-3</v>
      </c>
      <c r="I80">
        <v>4.2979942693409739E-2</v>
      </c>
      <c r="J80">
        <v>0</v>
      </c>
      <c r="K80">
        <v>0</v>
      </c>
      <c r="L80">
        <f t="shared" si="1"/>
        <v>5.4263610313317852</v>
      </c>
      <c r="O80">
        <v>0</v>
      </c>
      <c r="P80">
        <v>50000000</v>
      </c>
      <c r="Q80">
        <v>15</v>
      </c>
      <c r="R80">
        <v>8</v>
      </c>
      <c r="S80">
        <v>21</v>
      </c>
      <c r="T80">
        <v>4</v>
      </c>
      <c r="U80">
        <v>6</v>
      </c>
      <c r="V80">
        <v>8000</v>
      </c>
      <c r="W80">
        <v>2</v>
      </c>
      <c r="X80">
        <v>1</v>
      </c>
    </row>
    <row r="81" spans="1:24" x14ac:dyDescent="0.4">
      <c r="A81" t="s">
        <v>99</v>
      </c>
      <c r="B81">
        <v>2.222222222222222E-2</v>
      </c>
      <c r="C81">
        <v>6.6755674232309749E-3</v>
      </c>
      <c r="D81">
        <v>0.44</v>
      </c>
      <c r="E81">
        <v>0.15289256198347109</v>
      </c>
      <c r="F81">
        <v>0.17777777777777781</v>
      </c>
      <c r="G81">
        <v>0.1020408163265306</v>
      </c>
      <c r="H81">
        <v>2.197802197802198E-2</v>
      </c>
      <c r="I81">
        <v>0.16905444126074501</v>
      </c>
      <c r="J81">
        <v>0.2857142857142857</v>
      </c>
      <c r="K81">
        <v>0.22222222222222221</v>
      </c>
      <c r="L81">
        <f t="shared" si="1"/>
        <v>14.8763303549008</v>
      </c>
      <c r="O81">
        <v>1</v>
      </c>
      <c r="P81">
        <v>120000000</v>
      </c>
      <c r="Q81">
        <v>35</v>
      </c>
      <c r="R81">
        <v>45</v>
      </c>
      <c r="S81">
        <v>10</v>
      </c>
      <c r="T81">
        <v>12</v>
      </c>
      <c r="U81">
        <v>16</v>
      </c>
      <c r="V81">
        <v>30000</v>
      </c>
      <c r="W81">
        <v>4</v>
      </c>
      <c r="X81">
        <v>3</v>
      </c>
    </row>
    <row r="82" spans="1:24" x14ac:dyDescent="0.4">
      <c r="A82" t="s">
        <v>100</v>
      </c>
      <c r="B82">
        <v>0</v>
      </c>
      <c r="C82">
        <v>2.002670226969293E-3</v>
      </c>
      <c r="D82">
        <v>0.16800000000000001</v>
      </c>
      <c r="E82">
        <v>8.2644628099173556E-3</v>
      </c>
      <c r="F82">
        <v>0.42222222222222222</v>
      </c>
      <c r="G82">
        <v>2.0408163265306121E-2</v>
      </c>
      <c r="H82">
        <v>5.4945054945054949E-3</v>
      </c>
      <c r="I82">
        <v>5.4441260744985683E-2</v>
      </c>
      <c r="J82">
        <v>0</v>
      </c>
      <c r="K82">
        <v>0</v>
      </c>
      <c r="L82">
        <f t="shared" si="1"/>
        <v>6.2115401477784191</v>
      </c>
      <c r="O82">
        <v>0</v>
      </c>
      <c r="P82">
        <v>50000000</v>
      </c>
      <c r="Q82">
        <v>18</v>
      </c>
      <c r="R82">
        <v>10</v>
      </c>
      <c r="S82">
        <v>21</v>
      </c>
      <c r="T82">
        <v>4</v>
      </c>
      <c r="U82">
        <v>7</v>
      </c>
      <c r="V82">
        <v>10000</v>
      </c>
      <c r="W82">
        <v>2</v>
      </c>
      <c r="X82">
        <v>1</v>
      </c>
    </row>
    <row r="83" spans="1:24" x14ac:dyDescent="0.4">
      <c r="A83" t="s">
        <v>101</v>
      </c>
      <c r="B83">
        <v>0</v>
      </c>
      <c r="C83">
        <v>1.3351134846461951E-3</v>
      </c>
      <c r="D83">
        <v>7.1999999999999995E-2</v>
      </c>
      <c r="E83">
        <v>1.6528925619834711E-2</v>
      </c>
      <c r="F83">
        <v>0.17777777777777781</v>
      </c>
      <c r="G83">
        <v>1.020408163265306E-2</v>
      </c>
      <c r="H83">
        <v>1.8315018315018319E-3</v>
      </c>
      <c r="I83">
        <v>4.2979942693409739E-2</v>
      </c>
      <c r="J83">
        <v>0</v>
      </c>
      <c r="K83">
        <v>0</v>
      </c>
      <c r="L83">
        <f t="shared" si="1"/>
        <v>2.9647860676648197</v>
      </c>
      <c r="O83">
        <v>0</v>
      </c>
      <c r="P83">
        <v>40000000</v>
      </c>
      <c r="Q83">
        <v>12</v>
      </c>
      <c r="R83">
        <v>12</v>
      </c>
      <c r="S83">
        <v>10</v>
      </c>
      <c r="T83">
        <v>3</v>
      </c>
      <c r="U83">
        <v>5</v>
      </c>
      <c r="V83">
        <v>8000</v>
      </c>
      <c r="W83">
        <v>2</v>
      </c>
      <c r="X83">
        <v>1</v>
      </c>
    </row>
    <row r="84" spans="1:24" x14ac:dyDescent="0.4">
      <c r="A84" t="s">
        <v>102</v>
      </c>
      <c r="B84">
        <v>4.4444444444444453E-2</v>
      </c>
      <c r="C84">
        <v>8.678237650200267E-3</v>
      </c>
      <c r="D84">
        <v>0.36</v>
      </c>
      <c r="E84">
        <v>7.0247933884297523E-2</v>
      </c>
      <c r="F84">
        <v>0.82222222222222219</v>
      </c>
      <c r="G84">
        <v>8.1632653061224483E-2</v>
      </c>
      <c r="H84">
        <v>1.8315018315018319E-2</v>
      </c>
      <c r="I84">
        <v>0.1117478510028653</v>
      </c>
      <c r="J84">
        <v>0.42857142857142849</v>
      </c>
      <c r="K84">
        <v>0.22222222222222221</v>
      </c>
      <c r="L84">
        <f t="shared" si="1"/>
        <v>18.738351357977098</v>
      </c>
      <c r="O84">
        <v>2</v>
      </c>
      <c r="P84">
        <v>150000000</v>
      </c>
      <c r="Q84">
        <v>30</v>
      </c>
      <c r="R84">
        <v>25</v>
      </c>
      <c r="S84">
        <v>39</v>
      </c>
      <c r="T84">
        <v>10</v>
      </c>
      <c r="U84">
        <v>14</v>
      </c>
      <c r="V84">
        <v>20000</v>
      </c>
      <c r="W84">
        <v>5</v>
      </c>
      <c r="X84">
        <v>3</v>
      </c>
    </row>
    <row r="85" spans="1:24" x14ac:dyDescent="0.4">
      <c r="A85" t="s">
        <v>103</v>
      </c>
      <c r="B85">
        <v>0</v>
      </c>
      <c r="C85">
        <v>2.6702269692923902E-3</v>
      </c>
      <c r="D85">
        <v>0.2</v>
      </c>
      <c r="E85">
        <v>4.1322314049586778E-2</v>
      </c>
      <c r="F85">
        <v>0.24444444444444441</v>
      </c>
      <c r="G85">
        <v>3.0612244897959179E-2</v>
      </c>
      <c r="H85">
        <v>9.1575091575091579E-3</v>
      </c>
      <c r="I85">
        <v>6.5902578796561598E-2</v>
      </c>
      <c r="J85">
        <v>0.14285714285714279</v>
      </c>
      <c r="K85">
        <v>0.1111111111111111</v>
      </c>
      <c r="L85">
        <f t="shared" si="1"/>
        <v>7.4750508853759472</v>
      </c>
      <c r="O85">
        <v>0</v>
      </c>
      <c r="P85">
        <v>60000000</v>
      </c>
      <c r="Q85">
        <v>20</v>
      </c>
      <c r="R85">
        <v>18</v>
      </c>
      <c r="S85">
        <v>13</v>
      </c>
      <c r="T85">
        <v>5</v>
      </c>
      <c r="U85">
        <v>9</v>
      </c>
      <c r="V85">
        <v>12000</v>
      </c>
      <c r="W85">
        <v>3</v>
      </c>
      <c r="X85">
        <v>2</v>
      </c>
    </row>
    <row r="86" spans="1:24" x14ac:dyDescent="0.4">
      <c r="A86" t="s">
        <v>104</v>
      </c>
      <c r="B86">
        <v>6.6666666666666666E-2</v>
      </c>
      <c r="C86">
        <v>1.0680907877169561E-2</v>
      </c>
      <c r="D86">
        <v>0.44</v>
      </c>
      <c r="E86">
        <v>9.9173553719008267E-2</v>
      </c>
      <c r="F86">
        <v>0.44444444444444442</v>
      </c>
      <c r="G86">
        <v>0.1020408163265306</v>
      </c>
      <c r="H86">
        <v>2.197802197802198E-2</v>
      </c>
      <c r="I86">
        <v>0.12320916905444131</v>
      </c>
      <c r="J86">
        <v>0.42857142857142849</v>
      </c>
      <c r="K86">
        <v>0.22222222222222221</v>
      </c>
      <c r="L86">
        <f t="shared" si="1"/>
        <v>17.713004163524079</v>
      </c>
      <c r="O86">
        <v>3</v>
      </c>
      <c r="P86">
        <v>180000000</v>
      </c>
      <c r="Q86">
        <v>35</v>
      </c>
      <c r="R86">
        <v>32</v>
      </c>
      <c r="S86">
        <v>22</v>
      </c>
      <c r="T86">
        <v>12</v>
      </c>
      <c r="U86">
        <v>16</v>
      </c>
      <c r="V86">
        <v>22000</v>
      </c>
      <c r="W86">
        <v>5</v>
      </c>
      <c r="X86">
        <v>3</v>
      </c>
    </row>
    <row r="87" spans="1:24" x14ac:dyDescent="0.4">
      <c r="A87" t="s">
        <v>105</v>
      </c>
      <c r="B87">
        <v>8.8888888888888892E-2</v>
      </c>
      <c r="C87">
        <v>1.535380507343124E-2</v>
      </c>
      <c r="D87">
        <v>0.52</v>
      </c>
      <c r="E87">
        <v>0.13223140495867769</v>
      </c>
      <c r="F87">
        <v>0.82222222222222219</v>
      </c>
      <c r="G87">
        <v>0.1224489795918367</v>
      </c>
      <c r="H87">
        <v>2.9304029304029301E-2</v>
      </c>
      <c r="I87">
        <v>0.15759312320916899</v>
      </c>
      <c r="J87">
        <v>0.5714285714285714</v>
      </c>
      <c r="K87">
        <v>0.22222222222222221</v>
      </c>
      <c r="L87">
        <f t="shared" si="1"/>
        <v>24.033742039461764</v>
      </c>
      <c r="O87">
        <v>4</v>
      </c>
      <c r="P87">
        <v>250000000</v>
      </c>
      <c r="Q87">
        <v>40</v>
      </c>
      <c r="R87">
        <v>40</v>
      </c>
      <c r="S87">
        <v>39</v>
      </c>
      <c r="T87">
        <v>14</v>
      </c>
      <c r="U87">
        <v>20</v>
      </c>
      <c r="V87">
        <v>28000</v>
      </c>
      <c r="W87">
        <v>6</v>
      </c>
      <c r="X87">
        <v>3</v>
      </c>
    </row>
    <row r="88" spans="1:24" x14ac:dyDescent="0.4">
      <c r="A88" t="s">
        <v>106</v>
      </c>
      <c r="B88">
        <v>2.222222222222222E-2</v>
      </c>
      <c r="C88">
        <v>5.3404539385847804E-3</v>
      </c>
      <c r="D88">
        <v>0.29599999999999999</v>
      </c>
      <c r="E88">
        <v>4.9586776859504127E-2</v>
      </c>
      <c r="F88">
        <v>0.28888888888888892</v>
      </c>
      <c r="G88">
        <v>6.1224489795918373E-2</v>
      </c>
      <c r="H88">
        <v>1.282051282051282E-2</v>
      </c>
      <c r="I88">
        <v>8.882521489971347E-2</v>
      </c>
      <c r="J88">
        <v>0.2857142857142857</v>
      </c>
      <c r="K88">
        <v>0.1111111111111111</v>
      </c>
      <c r="L88">
        <f t="shared" si="1"/>
        <v>10.973289626050198</v>
      </c>
      <c r="O88">
        <v>1</v>
      </c>
      <c r="P88">
        <v>100000000</v>
      </c>
      <c r="Q88">
        <v>26</v>
      </c>
      <c r="R88">
        <v>20</v>
      </c>
      <c r="S88">
        <v>15</v>
      </c>
      <c r="T88">
        <v>8</v>
      </c>
      <c r="U88">
        <v>11</v>
      </c>
      <c r="V88">
        <v>16000</v>
      </c>
      <c r="W88">
        <v>4</v>
      </c>
      <c r="X88">
        <v>2</v>
      </c>
    </row>
    <row r="89" spans="1:24" x14ac:dyDescent="0.4">
      <c r="A89" t="s">
        <v>107</v>
      </c>
      <c r="B89">
        <v>4.4444444444444453E-2</v>
      </c>
      <c r="C89">
        <v>8.678237650200267E-3</v>
      </c>
      <c r="D89">
        <v>0.39200000000000002</v>
      </c>
      <c r="E89">
        <v>8.2644628099173556E-2</v>
      </c>
      <c r="F89">
        <v>0.33333333333333331</v>
      </c>
      <c r="G89">
        <v>8.1632653061224483E-2</v>
      </c>
      <c r="H89">
        <v>1.8315018315018319E-2</v>
      </c>
      <c r="I89">
        <v>0.1117478510028653</v>
      </c>
      <c r="J89">
        <v>0.2857142857142857</v>
      </c>
      <c r="K89">
        <v>0.22222222222222221</v>
      </c>
      <c r="L89">
        <f t="shared" si="1"/>
        <v>14.360000577444504</v>
      </c>
      <c r="O89">
        <v>2</v>
      </c>
      <c r="P89">
        <v>150000000</v>
      </c>
      <c r="Q89">
        <v>32</v>
      </c>
      <c r="R89">
        <v>28</v>
      </c>
      <c r="S89">
        <v>17</v>
      </c>
      <c r="T89">
        <v>10</v>
      </c>
      <c r="U89">
        <v>14</v>
      </c>
      <c r="V89">
        <v>20000</v>
      </c>
      <c r="W89">
        <v>4</v>
      </c>
      <c r="X89">
        <v>3</v>
      </c>
    </row>
    <row r="90" spans="1:24" x14ac:dyDescent="0.4">
      <c r="A90" t="s">
        <v>108</v>
      </c>
      <c r="B90">
        <v>0</v>
      </c>
      <c r="C90">
        <v>4.0053404539385851E-3</v>
      </c>
      <c r="D90">
        <v>0.23200000000000001</v>
      </c>
      <c r="E90">
        <v>4.1322314049586778E-2</v>
      </c>
      <c r="F90">
        <v>0.22222222222222221</v>
      </c>
      <c r="G90">
        <v>4.0816326530612242E-2</v>
      </c>
      <c r="H90">
        <v>1.098901098901099E-2</v>
      </c>
      <c r="I90">
        <v>7.1633237822349566E-2</v>
      </c>
      <c r="J90">
        <v>0.14285714285714279</v>
      </c>
      <c r="K90">
        <v>0.1111111111111111</v>
      </c>
      <c r="L90">
        <f t="shared" si="1"/>
        <v>7.8634955762617782</v>
      </c>
      <c r="O90">
        <v>0</v>
      </c>
      <c r="P90">
        <v>80000000</v>
      </c>
      <c r="Q90">
        <v>22</v>
      </c>
      <c r="R90">
        <v>18</v>
      </c>
      <c r="S90">
        <v>12</v>
      </c>
      <c r="T90">
        <v>6</v>
      </c>
      <c r="U90">
        <v>10</v>
      </c>
      <c r="V90">
        <v>13000</v>
      </c>
      <c r="W90">
        <v>3</v>
      </c>
      <c r="X90">
        <v>2</v>
      </c>
    </row>
    <row r="91" spans="1:24" x14ac:dyDescent="0.4">
      <c r="A91" t="s">
        <v>109</v>
      </c>
      <c r="B91">
        <v>0</v>
      </c>
      <c r="C91">
        <v>3.337783711615487E-3</v>
      </c>
      <c r="D91">
        <v>0.16800000000000001</v>
      </c>
      <c r="E91">
        <v>2.8925619834710741E-2</v>
      </c>
      <c r="F91">
        <v>0.31111111111111112</v>
      </c>
      <c r="G91">
        <v>3.0612244897959179E-2</v>
      </c>
      <c r="H91">
        <v>9.1575091575091579E-3</v>
      </c>
      <c r="I91">
        <v>6.5902578796561598E-2</v>
      </c>
      <c r="J91">
        <v>0.14285714285714279</v>
      </c>
      <c r="K91">
        <v>0.1111111111111111</v>
      </c>
      <c r="L91">
        <f t="shared" si="1"/>
        <v>7.4836345690386468</v>
      </c>
      <c r="O91">
        <v>0</v>
      </c>
      <c r="P91">
        <v>70000000</v>
      </c>
      <c r="Q91">
        <v>18</v>
      </c>
      <c r="R91">
        <v>15</v>
      </c>
      <c r="S91">
        <v>16</v>
      </c>
      <c r="T91">
        <v>5</v>
      </c>
      <c r="U91">
        <v>9</v>
      </c>
      <c r="V91">
        <v>12000</v>
      </c>
      <c r="W91">
        <v>3</v>
      </c>
      <c r="X91">
        <v>2</v>
      </c>
    </row>
    <row r="92" spans="1:24" x14ac:dyDescent="0.4">
      <c r="A92" t="s">
        <v>110</v>
      </c>
      <c r="B92">
        <v>2.222222222222222E-2</v>
      </c>
      <c r="C92">
        <v>4.6728971962616819E-3</v>
      </c>
      <c r="D92">
        <v>0.32800000000000001</v>
      </c>
      <c r="E92">
        <v>5.7851239669421489E-2</v>
      </c>
      <c r="F92">
        <v>0.42222222222222222</v>
      </c>
      <c r="G92">
        <v>5.1020408163265307E-2</v>
      </c>
      <c r="H92">
        <v>1.465201465201465E-2</v>
      </c>
      <c r="I92">
        <v>8.882521489971347E-2</v>
      </c>
      <c r="J92">
        <v>0.2857142857142857</v>
      </c>
      <c r="K92">
        <v>0.1111111111111111</v>
      </c>
      <c r="L92">
        <f t="shared" si="1"/>
        <v>12.431393367516485</v>
      </c>
      <c r="O92">
        <v>1</v>
      </c>
      <c r="P92">
        <v>90000000</v>
      </c>
      <c r="Q92">
        <v>28</v>
      </c>
      <c r="R92">
        <v>22</v>
      </c>
      <c r="S92">
        <v>21</v>
      </c>
      <c r="T92">
        <v>7</v>
      </c>
      <c r="U92">
        <v>12</v>
      </c>
      <c r="V92">
        <v>16000</v>
      </c>
      <c r="W92">
        <v>4</v>
      </c>
      <c r="X92">
        <v>2</v>
      </c>
    </row>
    <row r="93" spans="1:24" x14ac:dyDescent="0.4">
      <c r="A93" t="s">
        <v>111</v>
      </c>
      <c r="B93">
        <v>0</v>
      </c>
      <c r="C93">
        <v>1.0013351134846461E-3</v>
      </c>
      <c r="D93">
        <v>0.04</v>
      </c>
      <c r="E93">
        <v>8.2644628099173556E-3</v>
      </c>
      <c r="F93">
        <v>0.24444444444444441</v>
      </c>
      <c r="G93">
        <v>0</v>
      </c>
      <c r="H93">
        <v>0</v>
      </c>
      <c r="I93">
        <v>3.151862464183381E-2</v>
      </c>
      <c r="J93">
        <v>0</v>
      </c>
      <c r="K93">
        <v>0</v>
      </c>
      <c r="L93">
        <f t="shared" si="1"/>
        <v>2.7988941277710495</v>
      </c>
      <c r="O93">
        <v>0</v>
      </c>
      <c r="P93">
        <v>35000000</v>
      </c>
      <c r="Q93">
        <v>10</v>
      </c>
      <c r="R93">
        <v>10</v>
      </c>
      <c r="S93">
        <v>13</v>
      </c>
      <c r="T93">
        <v>2</v>
      </c>
      <c r="U93">
        <v>4</v>
      </c>
      <c r="V93">
        <v>6000</v>
      </c>
      <c r="W93">
        <v>2</v>
      </c>
      <c r="X93">
        <v>1</v>
      </c>
    </row>
    <row r="94" spans="1:24" x14ac:dyDescent="0.4">
      <c r="A94" t="s">
        <v>112</v>
      </c>
      <c r="B94">
        <v>0</v>
      </c>
      <c r="C94">
        <v>3.337783711615487E-3</v>
      </c>
      <c r="D94">
        <v>0.2</v>
      </c>
      <c r="E94">
        <v>2.8925619834710741E-2</v>
      </c>
      <c r="F94">
        <v>0.2</v>
      </c>
      <c r="G94">
        <v>3.0612244897959179E-2</v>
      </c>
      <c r="H94">
        <v>7.326007326007326E-3</v>
      </c>
      <c r="I94">
        <v>6.0171919770773637E-2</v>
      </c>
      <c r="J94">
        <v>0.14285714285714279</v>
      </c>
      <c r="K94">
        <v>0.1111111111111111</v>
      </c>
      <c r="L94">
        <f t="shared" si="1"/>
        <v>6.9145853896284342</v>
      </c>
      <c r="O94">
        <v>0</v>
      </c>
      <c r="P94">
        <v>70000000</v>
      </c>
      <c r="Q94">
        <v>20</v>
      </c>
      <c r="R94">
        <v>15</v>
      </c>
      <c r="S94">
        <v>11</v>
      </c>
      <c r="T94">
        <v>5</v>
      </c>
      <c r="U94">
        <v>8</v>
      </c>
      <c r="V94">
        <v>11000</v>
      </c>
      <c r="W94">
        <v>3</v>
      </c>
      <c r="X94">
        <v>2</v>
      </c>
    </row>
    <row r="95" spans="1:24" x14ac:dyDescent="0.4">
      <c r="A95" t="s">
        <v>113</v>
      </c>
      <c r="B95">
        <v>4.4444444444444453E-2</v>
      </c>
      <c r="C95">
        <v>7.3431241655540717E-3</v>
      </c>
      <c r="D95">
        <v>0.36</v>
      </c>
      <c r="E95">
        <v>8.2644628099173556E-2</v>
      </c>
      <c r="F95">
        <v>0.26666666666666672</v>
      </c>
      <c r="G95">
        <v>7.1428571428571425E-2</v>
      </c>
      <c r="H95">
        <v>1.648351648351648E-2</v>
      </c>
      <c r="I95">
        <v>0.10028653295128941</v>
      </c>
      <c r="J95">
        <v>0.2857142857142857</v>
      </c>
      <c r="K95">
        <v>0.1111111111111111</v>
      </c>
      <c r="L95">
        <f t="shared" si="1"/>
        <v>12.547932836574594</v>
      </c>
      <c r="O95">
        <v>2</v>
      </c>
      <c r="P95">
        <v>130000000</v>
      </c>
      <c r="Q95">
        <v>30</v>
      </c>
      <c r="R95">
        <v>28</v>
      </c>
      <c r="S95">
        <v>14</v>
      </c>
      <c r="T95">
        <v>9</v>
      </c>
      <c r="U95">
        <v>13</v>
      </c>
      <c r="V95">
        <v>18000</v>
      </c>
      <c r="W95">
        <v>4</v>
      </c>
      <c r="X95">
        <v>2</v>
      </c>
    </row>
    <row r="96" spans="1:24" x14ac:dyDescent="0.4">
      <c r="A96" t="s">
        <v>114</v>
      </c>
      <c r="B96">
        <v>2.222222222222222E-2</v>
      </c>
      <c r="C96">
        <v>6.6755674232309749E-3</v>
      </c>
      <c r="D96">
        <v>0.32800000000000001</v>
      </c>
      <c r="E96">
        <v>7.0247933884297523E-2</v>
      </c>
      <c r="F96">
        <v>0.35555555555555562</v>
      </c>
      <c r="G96">
        <v>6.1224489795918373E-2</v>
      </c>
      <c r="H96">
        <v>1.465201465201465E-2</v>
      </c>
      <c r="I96">
        <v>8.882521489971347E-2</v>
      </c>
      <c r="J96">
        <v>0.2857142857142857</v>
      </c>
      <c r="K96">
        <v>0.1111111111111111</v>
      </c>
      <c r="L96">
        <f t="shared" si="1"/>
        <v>12.172893223811824</v>
      </c>
      <c r="O96">
        <v>1</v>
      </c>
      <c r="P96">
        <v>120000000</v>
      </c>
      <c r="Q96">
        <v>28</v>
      </c>
      <c r="R96">
        <v>25</v>
      </c>
      <c r="S96">
        <v>18</v>
      </c>
      <c r="T96">
        <v>8</v>
      </c>
      <c r="U96">
        <v>12</v>
      </c>
      <c r="V96">
        <v>16000</v>
      </c>
      <c r="W96">
        <v>4</v>
      </c>
      <c r="X96">
        <v>2</v>
      </c>
    </row>
    <row r="97" spans="1:24" x14ac:dyDescent="0.4">
      <c r="A97" t="s">
        <v>115</v>
      </c>
      <c r="B97">
        <v>0.26666666666666672</v>
      </c>
      <c r="C97">
        <v>1.2016021361815749E-2</v>
      </c>
      <c r="D97">
        <v>0.64800000000000002</v>
      </c>
      <c r="E97">
        <v>0.13223140495867769</v>
      </c>
      <c r="F97">
        <v>4.4444444444444453E-2</v>
      </c>
      <c r="G97">
        <v>8.1632653061224483E-2</v>
      </c>
      <c r="H97">
        <v>2.0146520146520151E-2</v>
      </c>
      <c r="I97">
        <v>0.1117478510028653</v>
      </c>
      <c r="J97">
        <v>0.2857142857142857</v>
      </c>
      <c r="K97">
        <v>0.22222222222222221</v>
      </c>
      <c r="L97">
        <f t="shared" si="1"/>
        <v>19.107632544835177</v>
      </c>
      <c r="O97">
        <v>12</v>
      </c>
      <c r="P97">
        <v>200000000</v>
      </c>
      <c r="Q97">
        <v>48</v>
      </c>
      <c r="R97">
        <v>40</v>
      </c>
      <c r="S97">
        <v>4</v>
      </c>
      <c r="T97">
        <v>10</v>
      </c>
      <c r="U97">
        <v>15</v>
      </c>
      <c r="V97">
        <v>20000</v>
      </c>
      <c r="W97">
        <v>4</v>
      </c>
      <c r="X97">
        <v>3</v>
      </c>
    </row>
    <row r="98" spans="1:24" x14ac:dyDescent="0.4">
      <c r="A98" t="s">
        <v>116</v>
      </c>
      <c r="B98">
        <v>2.222222222222222E-2</v>
      </c>
      <c r="C98">
        <v>1.2016021361815749E-2</v>
      </c>
      <c r="D98">
        <v>0.45600000000000002</v>
      </c>
      <c r="E98">
        <v>7.0247933884297523E-2</v>
      </c>
      <c r="F98">
        <v>8.8888888888888892E-2</v>
      </c>
      <c r="G98">
        <v>0.1020408163265306</v>
      </c>
      <c r="H98">
        <v>1.098901098901099E-2</v>
      </c>
      <c r="I98">
        <v>0.10028653295128941</v>
      </c>
      <c r="J98">
        <v>0.2857142857142857</v>
      </c>
      <c r="K98">
        <v>0.22222222222222221</v>
      </c>
      <c r="L98">
        <f t="shared" si="1"/>
        <v>12.769535777496868</v>
      </c>
      <c r="O98">
        <v>1</v>
      </c>
      <c r="P98">
        <v>200000000</v>
      </c>
      <c r="Q98">
        <v>36</v>
      </c>
      <c r="R98">
        <v>25</v>
      </c>
      <c r="S98">
        <v>6</v>
      </c>
      <c r="T98">
        <v>12</v>
      </c>
      <c r="U98">
        <v>10</v>
      </c>
      <c r="V98">
        <v>18000</v>
      </c>
      <c r="W98">
        <v>4</v>
      </c>
      <c r="X98">
        <v>3</v>
      </c>
    </row>
    <row r="99" spans="1:24" x14ac:dyDescent="0.4">
      <c r="A99" t="s">
        <v>117</v>
      </c>
      <c r="B99">
        <v>0.37777777777777782</v>
      </c>
      <c r="C99">
        <v>0.1321762349799733</v>
      </c>
      <c r="D99">
        <v>0.872</v>
      </c>
      <c r="E99">
        <v>0.46280991735537191</v>
      </c>
      <c r="F99">
        <v>0.2</v>
      </c>
      <c r="G99">
        <v>0.2857142857142857</v>
      </c>
      <c r="H99">
        <v>7.5091575091575088E-2</v>
      </c>
      <c r="I99">
        <v>0.39828080229226359</v>
      </c>
      <c r="J99">
        <v>0.8571428571428571</v>
      </c>
      <c r="K99">
        <v>1</v>
      </c>
      <c r="L99">
        <f t="shared" si="1"/>
        <v>43.664805521087523</v>
      </c>
      <c r="O99">
        <v>17</v>
      </c>
      <c r="P99">
        <v>2000000000</v>
      </c>
      <c r="Q99">
        <v>62</v>
      </c>
      <c r="R99">
        <v>120</v>
      </c>
      <c r="S99">
        <v>11</v>
      </c>
      <c r="T99">
        <v>30</v>
      </c>
      <c r="U99">
        <v>45</v>
      </c>
      <c r="V99">
        <v>70000</v>
      </c>
      <c r="W99">
        <v>8</v>
      </c>
      <c r="X99">
        <v>10</v>
      </c>
    </row>
    <row r="100" spans="1:24" x14ac:dyDescent="0.4">
      <c r="A100" t="s">
        <v>118</v>
      </c>
      <c r="B100">
        <v>0.1111111111111111</v>
      </c>
      <c r="C100">
        <v>1.8691588785046731E-2</v>
      </c>
      <c r="D100">
        <v>0.6</v>
      </c>
      <c r="E100">
        <v>0.1735537190082645</v>
      </c>
      <c r="F100">
        <v>0.15555555555555561</v>
      </c>
      <c r="G100">
        <v>0.1326530612244898</v>
      </c>
      <c r="H100">
        <v>2.9304029304029301E-2</v>
      </c>
      <c r="I100">
        <v>0.16905444126074501</v>
      </c>
      <c r="J100">
        <v>0.42857142857142849</v>
      </c>
      <c r="K100">
        <v>0.33333333333333331</v>
      </c>
      <c r="L100">
        <f t="shared" si="1"/>
        <v>20.390061240001994</v>
      </c>
      <c r="O100">
        <v>5</v>
      </c>
      <c r="P100">
        <v>300000000</v>
      </c>
      <c r="Q100">
        <v>45</v>
      </c>
      <c r="R100">
        <v>50</v>
      </c>
      <c r="S100">
        <v>9</v>
      </c>
      <c r="T100">
        <v>15</v>
      </c>
      <c r="U100">
        <v>20</v>
      </c>
      <c r="V100">
        <v>30000</v>
      </c>
      <c r="W100">
        <v>5</v>
      </c>
      <c r="X100">
        <v>4</v>
      </c>
    </row>
    <row r="101" spans="1:24" x14ac:dyDescent="0.4">
      <c r="A101" t="s">
        <v>119</v>
      </c>
      <c r="B101">
        <v>0.17777777777777781</v>
      </c>
      <c r="C101">
        <v>6.1548731642189589E-2</v>
      </c>
      <c r="D101">
        <v>1</v>
      </c>
      <c r="E101">
        <v>0.31818181818181818</v>
      </c>
      <c r="F101">
        <v>0.4</v>
      </c>
      <c r="G101">
        <v>0.33673469387755101</v>
      </c>
      <c r="H101">
        <v>8.4249084249084255E-2</v>
      </c>
      <c r="I101">
        <v>0.39828080229226359</v>
      </c>
      <c r="J101">
        <v>1</v>
      </c>
      <c r="K101">
        <v>0.88888888888888884</v>
      </c>
      <c r="L101">
        <f t="shared" si="1"/>
        <v>42.152850797492562</v>
      </c>
      <c r="O101">
        <v>8</v>
      </c>
      <c r="P101">
        <v>942000000</v>
      </c>
      <c r="Q101">
        <v>70</v>
      </c>
      <c r="R101">
        <v>85</v>
      </c>
      <c r="S101">
        <v>20</v>
      </c>
      <c r="T101">
        <v>35</v>
      </c>
      <c r="U101">
        <v>50</v>
      </c>
      <c r="V101">
        <v>70000</v>
      </c>
      <c r="W101">
        <v>9</v>
      </c>
      <c r="X101">
        <v>9</v>
      </c>
    </row>
    <row r="102" spans="1:24" x14ac:dyDescent="0.4">
      <c r="A102" t="s">
        <v>120</v>
      </c>
      <c r="B102">
        <v>0.33333333333333331</v>
      </c>
      <c r="C102">
        <v>3.2042723631508681E-2</v>
      </c>
      <c r="D102">
        <v>0.76</v>
      </c>
      <c r="E102">
        <v>0.30578512396694207</v>
      </c>
      <c r="F102">
        <v>0.2</v>
      </c>
      <c r="G102">
        <v>0.16326530612244899</v>
      </c>
      <c r="H102">
        <v>3.8461538461538457E-2</v>
      </c>
      <c r="I102">
        <v>0.19770773638968481</v>
      </c>
      <c r="J102">
        <v>0.7142857142857143</v>
      </c>
      <c r="K102">
        <v>0.44444444444444442</v>
      </c>
      <c r="L102">
        <f t="shared" si="1"/>
        <v>31.039531174805425</v>
      </c>
      <c r="O102">
        <v>15</v>
      </c>
      <c r="P102">
        <v>500000000</v>
      </c>
      <c r="Q102">
        <v>55</v>
      </c>
      <c r="R102">
        <v>82</v>
      </c>
      <c r="S102">
        <v>11</v>
      </c>
      <c r="T102">
        <v>18</v>
      </c>
      <c r="U102">
        <v>25</v>
      </c>
      <c r="V102">
        <v>35000</v>
      </c>
      <c r="W102">
        <v>7</v>
      </c>
      <c r="X102">
        <v>5</v>
      </c>
    </row>
    <row r="103" spans="1:24" x14ac:dyDescent="0.4">
      <c r="A103" t="s">
        <v>121</v>
      </c>
      <c r="B103">
        <v>2.222222222222222E-2</v>
      </c>
      <c r="C103">
        <v>6.6755674232309749E-3</v>
      </c>
      <c r="D103">
        <v>0.36</v>
      </c>
      <c r="E103">
        <v>7.0247933884297523E-2</v>
      </c>
      <c r="F103">
        <v>0.17777777777777781</v>
      </c>
      <c r="G103">
        <v>8.1632653061224483E-2</v>
      </c>
      <c r="H103">
        <v>2.0146520146520151E-2</v>
      </c>
      <c r="I103">
        <v>0.10028653295128941</v>
      </c>
      <c r="J103">
        <v>0.42857142857142849</v>
      </c>
      <c r="K103">
        <v>0.22222222222222221</v>
      </c>
      <c r="L103">
        <f t="shared" si="1"/>
        <v>13.152054900266993</v>
      </c>
      <c r="O103">
        <v>1</v>
      </c>
      <c r="P103">
        <v>120000000</v>
      </c>
      <c r="Q103">
        <v>30</v>
      </c>
      <c r="R103">
        <v>25</v>
      </c>
      <c r="S103">
        <v>10</v>
      </c>
      <c r="T103">
        <v>10</v>
      </c>
      <c r="U103">
        <v>15</v>
      </c>
      <c r="V103">
        <v>18000</v>
      </c>
      <c r="W103">
        <v>5</v>
      </c>
      <c r="X103">
        <v>3</v>
      </c>
    </row>
    <row r="104" spans="1:24" x14ac:dyDescent="0.4">
      <c r="A104" t="s">
        <v>122</v>
      </c>
      <c r="B104">
        <v>0</v>
      </c>
      <c r="C104">
        <v>4.0053404539385851E-3</v>
      </c>
      <c r="D104">
        <v>0.2</v>
      </c>
      <c r="E104">
        <v>4.1322314049586778E-2</v>
      </c>
      <c r="F104">
        <v>0.1111111111111111</v>
      </c>
      <c r="G104">
        <v>4.0816326530612242E-2</v>
      </c>
      <c r="H104">
        <v>1.098901098901099E-2</v>
      </c>
      <c r="I104">
        <v>6.5902578796561598E-2</v>
      </c>
      <c r="J104">
        <v>0.14285714285714279</v>
      </c>
      <c r="K104">
        <v>0.1111111111111111</v>
      </c>
      <c r="L104">
        <f t="shared" si="1"/>
        <v>6.5447614151665849</v>
      </c>
      <c r="O104">
        <v>0</v>
      </c>
      <c r="P104">
        <v>80000000</v>
      </c>
      <c r="Q104">
        <v>20</v>
      </c>
      <c r="R104">
        <v>18</v>
      </c>
      <c r="S104">
        <v>7</v>
      </c>
      <c r="T104">
        <v>6</v>
      </c>
      <c r="U104">
        <v>10</v>
      </c>
      <c r="V104">
        <v>12000</v>
      </c>
      <c r="W104">
        <v>3</v>
      </c>
      <c r="X104">
        <v>2</v>
      </c>
    </row>
    <row r="105" spans="1:24" x14ac:dyDescent="0.4">
      <c r="A105" t="s">
        <v>123</v>
      </c>
      <c r="B105">
        <v>0</v>
      </c>
      <c r="C105">
        <v>3.337783711615487E-3</v>
      </c>
      <c r="D105">
        <v>0.16800000000000001</v>
      </c>
      <c r="E105">
        <v>2.8925619834710741E-2</v>
      </c>
      <c r="F105">
        <v>0.1111111111111111</v>
      </c>
      <c r="G105">
        <v>3.0612244897959179E-2</v>
      </c>
      <c r="H105">
        <v>9.1575091575091579E-3</v>
      </c>
      <c r="I105">
        <v>5.4441260744985683E-2</v>
      </c>
      <c r="J105">
        <v>0.14285714285714279</v>
      </c>
      <c r="K105">
        <v>0.1111111111111111</v>
      </c>
      <c r="L105">
        <f t="shared" si="1"/>
        <v>5.791944024626039</v>
      </c>
      <c r="O105">
        <v>0</v>
      </c>
      <c r="P105">
        <v>70000000</v>
      </c>
      <c r="Q105">
        <v>18</v>
      </c>
      <c r="R105">
        <v>15</v>
      </c>
      <c r="S105">
        <v>7</v>
      </c>
      <c r="T105">
        <v>5</v>
      </c>
      <c r="U105">
        <v>9</v>
      </c>
      <c r="V105">
        <v>10000</v>
      </c>
      <c r="W105">
        <v>3</v>
      </c>
      <c r="X105">
        <v>2</v>
      </c>
    </row>
    <row r="106" spans="1:24" x14ac:dyDescent="0.4">
      <c r="A106" t="s">
        <v>124</v>
      </c>
      <c r="B106">
        <v>0.1333333333333333</v>
      </c>
      <c r="C106">
        <v>3.8718291054739652E-2</v>
      </c>
      <c r="D106">
        <v>0.80800000000000005</v>
      </c>
      <c r="E106">
        <v>0.256198347107438</v>
      </c>
      <c r="F106">
        <v>0.15555555555555561</v>
      </c>
      <c r="G106">
        <v>0.18367346938775511</v>
      </c>
      <c r="H106">
        <v>4.7619047619047623E-2</v>
      </c>
      <c r="I106">
        <v>0.28366762177650429</v>
      </c>
      <c r="J106">
        <v>0.7142857142857143</v>
      </c>
      <c r="K106">
        <v>0.33333333333333331</v>
      </c>
      <c r="L106">
        <f t="shared" si="1"/>
        <v>28.061710246670639</v>
      </c>
      <c r="O106">
        <v>6</v>
      </c>
      <c r="P106">
        <v>600000000</v>
      </c>
      <c r="Q106">
        <v>58</v>
      </c>
      <c r="R106">
        <v>70</v>
      </c>
      <c r="S106">
        <v>9</v>
      </c>
      <c r="T106">
        <v>20</v>
      </c>
      <c r="U106">
        <v>30</v>
      </c>
      <c r="V106">
        <v>50000</v>
      </c>
      <c r="W106">
        <v>7</v>
      </c>
      <c r="X106">
        <v>4</v>
      </c>
    </row>
    <row r="107" spans="1:24" x14ac:dyDescent="0.4">
      <c r="A107" t="s">
        <v>125</v>
      </c>
      <c r="B107">
        <v>2.222222222222222E-2</v>
      </c>
      <c r="C107">
        <v>5.3404539385847804E-3</v>
      </c>
      <c r="D107">
        <v>0.28000000000000003</v>
      </c>
      <c r="E107">
        <v>4.9586776859504127E-2</v>
      </c>
      <c r="F107">
        <v>0.1333333333333333</v>
      </c>
      <c r="G107">
        <v>6.1224489795918373E-2</v>
      </c>
      <c r="H107">
        <v>1.465201465201465E-2</v>
      </c>
      <c r="I107">
        <v>8.3094555873925502E-2</v>
      </c>
      <c r="J107">
        <v>0.2857142857142857</v>
      </c>
      <c r="K107">
        <v>0.1111111111111111</v>
      </c>
      <c r="L107">
        <f t="shared" si="1"/>
        <v>9.5093149277144686</v>
      </c>
      <c r="O107">
        <v>1</v>
      </c>
      <c r="P107">
        <v>100000000</v>
      </c>
      <c r="Q107">
        <v>25</v>
      </c>
      <c r="R107">
        <v>20</v>
      </c>
      <c r="S107">
        <v>8</v>
      </c>
      <c r="T107">
        <v>8</v>
      </c>
      <c r="U107">
        <v>12</v>
      </c>
      <c r="V107">
        <v>15000</v>
      </c>
      <c r="W107">
        <v>4</v>
      </c>
      <c r="X107">
        <v>2</v>
      </c>
    </row>
    <row r="108" spans="1:24" x14ac:dyDescent="0.4">
      <c r="A108" t="s">
        <v>126</v>
      </c>
      <c r="B108">
        <v>0</v>
      </c>
      <c r="C108">
        <v>2.6702269692923902E-3</v>
      </c>
      <c r="D108">
        <v>0.16800000000000001</v>
      </c>
      <c r="E108">
        <v>1.6528925619834711E-2</v>
      </c>
      <c r="F108">
        <v>8.8888888888888892E-2</v>
      </c>
      <c r="G108">
        <v>2.0408163265306121E-2</v>
      </c>
      <c r="H108">
        <v>7.326007326007326E-3</v>
      </c>
      <c r="I108">
        <v>4.8710601719197708E-2</v>
      </c>
      <c r="J108">
        <v>0.14285714285714279</v>
      </c>
      <c r="K108">
        <v>0</v>
      </c>
      <c r="L108">
        <f t="shared" si="1"/>
        <v>4.624527461847352</v>
      </c>
      <c r="O108">
        <v>0</v>
      </c>
      <c r="P108">
        <v>60000000</v>
      </c>
      <c r="Q108">
        <v>18</v>
      </c>
      <c r="R108">
        <v>12</v>
      </c>
      <c r="S108">
        <v>6</v>
      </c>
      <c r="T108">
        <v>4</v>
      </c>
      <c r="U108">
        <v>8</v>
      </c>
      <c r="V108">
        <v>9000</v>
      </c>
      <c r="W108">
        <v>3</v>
      </c>
      <c r="X108">
        <v>1</v>
      </c>
    </row>
    <row r="109" spans="1:24" x14ac:dyDescent="0.4">
      <c r="A109" t="s">
        <v>127</v>
      </c>
      <c r="B109">
        <v>0</v>
      </c>
      <c r="C109">
        <v>2.002670226969293E-3</v>
      </c>
      <c r="D109">
        <v>0.12</v>
      </c>
      <c r="E109">
        <v>1.6528925619834711E-2</v>
      </c>
      <c r="F109">
        <v>8.8888888888888892E-2</v>
      </c>
      <c r="G109">
        <v>2.0408163265306121E-2</v>
      </c>
      <c r="H109">
        <v>5.4945054945054949E-3</v>
      </c>
      <c r="I109">
        <v>4.2979942693409739E-2</v>
      </c>
      <c r="J109">
        <v>0</v>
      </c>
      <c r="K109">
        <v>0.1111111111111111</v>
      </c>
      <c r="L109">
        <f t="shared" si="1"/>
        <v>3.6430231570848202</v>
      </c>
      <c r="O109">
        <v>0</v>
      </c>
      <c r="P109">
        <v>50000000</v>
      </c>
      <c r="Q109">
        <v>15</v>
      </c>
      <c r="R109">
        <v>12</v>
      </c>
      <c r="S109">
        <v>6</v>
      </c>
      <c r="T109">
        <v>4</v>
      </c>
      <c r="U109">
        <v>7</v>
      </c>
      <c r="V109">
        <v>8000</v>
      </c>
      <c r="W109">
        <v>2</v>
      </c>
      <c r="X109">
        <v>2</v>
      </c>
    </row>
    <row r="110" spans="1:24" x14ac:dyDescent="0.4">
      <c r="A110" t="s">
        <v>128</v>
      </c>
      <c r="B110">
        <v>0</v>
      </c>
      <c r="C110">
        <v>1.3351134846461951E-3</v>
      </c>
      <c r="D110">
        <v>7.1999999999999995E-2</v>
      </c>
      <c r="E110">
        <v>8.2644628099173556E-3</v>
      </c>
      <c r="F110">
        <v>0</v>
      </c>
      <c r="G110">
        <v>2.0408163265306121E-2</v>
      </c>
      <c r="H110">
        <v>3.663003663003663E-3</v>
      </c>
      <c r="I110">
        <v>3.7249283667621778E-2</v>
      </c>
      <c r="J110">
        <v>0</v>
      </c>
      <c r="K110">
        <v>0</v>
      </c>
      <c r="L110">
        <f t="shared" si="1"/>
        <v>1.5179008541588346</v>
      </c>
      <c r="O110">
        <v>0</v>
      </c>
      <c r="P110">
        <v>40000000</v>
      </c>
      <c r="Q110">
        <v>12</v>
      </c>
      <c r="R110">
        <v>10</v>
      </c>
      <c r="S110">
        <v>2</v>
      </c>
      <c r="T110">
        <v>4</v>
      </c>
      <c r="U110">
        <v>6</v>
      </c>
      <c r="V110">
        <v>7000</v>
      </c>
      <c r="W110">
        <v>2</v>
      </c>
      <c r="X110">
        <v>1</v>
      </c>
    </row>
    <row r="111" spans="1:24" x14ac:dyDescent="0.4">
      <c r="A111" t="s">
        <v>129</v>
      </c>
      <c r="B111">
        <v>0</v>
      </c>
      <c r="C111">
        <v>2.6702269692923902E-3</v>
      </c>
      <c r="D111">
        <v>0.16800000000000001</v>
      </c>
      <c r="E111">
        <v>2.479338842975207E-2</v>
      </c>
      <c r="F111">
        <v>8.8888888888888892E-2</v>
      </c>
      <c r="G111">
        <v>3.0612244897959179E-2</v>
      </c>
      <c r="H111">
        <v>7.326007326007326E-3</v>
      </c>
      <c r="I111">
        <v>5.4441260744985683E-2</v>
      </c>
      <c r="J111">
        <v>0.14285714285714279</v>
      </c>
      <c r="K111">
        <v>0.1111111111111111</v>
      </c>
      <c r="L111">
        <f t="shared" si="1"/>
        <v>5.5382537707658619</v>
      </c>
      <c r="O111">
        <v>0</v>
      </c>
      <c r="P111">
        <v>60000000</v>
      </c>
      <c r="Q111">
        <v>18</v>
      </c>
      <c r="R111">
        <v>14</v>
      </c>
      <c r="S111">
        <v>6</v>
      </c>
      <c r="T111">
        <v>5</v>
      </c>
      <c r="U111">
        <v>8</v>
      </c>
      <c r="V111">
        <v>10000</v>
      </c>
      <c r="W111">
        <v>3</v>
      </c>
      <c r="X111">
        <v>2</v>
      </c>
    </row>
    <row r="112" spans="1:24" x14ac:dyDescent="0.4">
      <c r="A112" t="s">
        <v>130</v>
      </c>
      <c r="B112">
        <v>0</v>
      </c>
      <c r="C112">
        <v>2.002670226969293E-3</v>
      </c>
      <c r="D112">
        <v>0.12</v>
      </c>
      <c r="E112">
        <v>1.6528925619834711E-2</v>
      </c>
      <c r="F112">
        <v>6.6666666666666666E-2</v>
      </c>
      <c r="G112">
        <v>2.0408163265306121E-2</v>
      </c>
      <c r="H112">
        <v>5.4945054945054949E-3</v>
      </c>
      <c r="I112">
        <v>4.8710601719197708E-2</v>
      </c>
      <c r="J112">
        <v>0</v>
      </c>
      <c r="K112">
        <v>0.1111111111111111</v>
      </c>
      <c r="L112">
        <f t="shared" si="1"/>
        <v>3.5110906515133462</v>
      </c>
      <c r="O112">
        <v>0</v>
      </c>
      <c r="P112">
        <v>50000000</v>
      </c>
      <c r="Q112">
        <v>15</v>
      </c>
      <c r="R112">
        <v>12</v>
      </c>
      <c r="S112">
        <v>5</v>
      </c>
      <c r="T112">
        <v>4</v>
      </c>
      <c r="U112">
        <v>7</v>
      </c>
      <c r="V112">
        <v>9000</v>
      </c>
      <c r="W112">
        <v>2</v>
      </c>
      <c r="X112">
        <v>2</v>
      </c>
    </row>
    <row r="113" spans="1:24" x14ac:dyDescent="0.4">
      <c r="A113" t="s">
        <v>131</v>
      </c>
      <c r="B113">
        <v>0</v>
      </c>
      <c r="C113">
        <v>1.6688918558077439E-3</v>
      </c>
      <c r="D113">
        <v>7.1999999999999995E-2</v>
      </c>
      <c r="E113">
        <v>8.2644628099173556E-3</v>
      </c>
      <c r="F113">
        <v>8.8888888888888892E-2</v>
      </c>
      <c r="G113">
        <v>1.020408163265306E-2</v>
      </c>
      <c r="H113">
        <v>3.663003663003663E-3</v>
      </c>
      <c r="I113">
        <v>4.2979942693409739E-2</v>
      </c>
      <c r="J113">
        <v>0</v>
      </c>
      <c r="K113">
        <v>0</v>
      </c>
      <c r="L113">
        <f t="shared" si="1"/>
        <v>2.1768217616036569</v>
      </c>
      <c r="O113">
        <v>0</v>
      </c>
      <c r="P113">
        <v>45000000</v>
      </c>
      <c r="Q113">
        <v>12</v>
      </c>
      <c r="R113">
        <v>10</v>
      </c>
      <c r="S113">
        <v>6</v>
      </c>
      <c r="T113">
        <v>3</v>
      </c>
      <c r="U113">
        <v>6</v>
      </c>
      <c r="V113">
        <v>8000</v>
      </c>
      <c r="W113">
        <v>2</v>
      </c>
      <c r="X113">
        <v>1</v>
      </c>
    </row>
    <row r="114" spans="1:24" x14ac:dyDescent="0.4">
      <c r="A114" t="s">
        <v>132</v>
      </c>
      <c r="B114">
        <v>0</v>
      </c>
      <c r="C114">
        <v>3.337783711615487E-3</v>
      </c>
      <c r="D114">
        <v>0.2</v>
      </c>
      <c r="E114">
        <v>2.8925619834710741E-2</v>
      </c>
      <c r="F114">
        <v>0.1111111111111111</v>
      </c>
      <c r="G114">
        <v>3.0612244897959179E-2</v>
      </c>
      <c r="H114">
        <v>9.1575091575091579E-3</v>
      </c>
      <c r="I114">
        <v>6.0171919770773637E-2</v>
      </c>
      <c r="J114">
        <v>0.14285714285714279</v>
      </c>
      <c r="K114">
        <v>0.1111111111111111</v>
      </c>
      <c r="L114">
        <f t="shared" si="1"/>
        <v>6.2217892968323429</v>
      </c>
      <c r="O114">
        <v>0</v>
      </c>
      <c r="P114">
        <v>70000000</v>
      </c>
      <c r="Q114">
        <v>20</v>
      </c>
      <c r="R114">
        <v>15</v>
      </c>
      <c r="S114">
        <v>7</v>
      </c>
      <c r="T114">
        <v>5</v>
      </c>
      <c r="U114">
        <v>9</v>
      </c>
      <c r="V114">
        <v>11000</v>
      </c>
      <c r="W114">
        <v>3</v>
      </c>
      <c r="X114">
        <v>2</v>
      </c>
    </row>
    <row r="115" spans="1:24" x14ac:dyDescent="0.4">
      <c r="A115" t="s">
        <v>133</v>
      </c>
      <c r="B115">
        <v>2.222222222222222E-2</v>
      </c>
      <c r="C115">
        <v>5.3404539385847804E-3</v>
      </c>
      <c r="D115">
        <v>0.28000000000000003</v>
      </c>
      <c r="E115">
        <v>4.9586776859504127E-2</v>
      </c>
      <c r="F115">
        <v>8.8888888888888892E-2</v>
      </c>
      <c r="G115">
        <v>5.1020408163265307E-2</v>
      </c>
      <c r="H115">
        <v>1.282051282051282E-2</v>
      </c>
      <c r="I115">
        <v>7.7363896848137534E-2</v>
      </c>
      <c r="J115">
        <v>0.2857142857142857</v>
      </c>
      <c r="K115">
        <v>0.22222222222222221</v>
      </c>
      <c r="L115">
        <f t="shared" si="1"/>
        <v>9.6542249319777262</v>
      </c>
      <c r="O115">
        <v>1</v>
      </c>
      <c r="P115">
        <v>100000000</v>
      </c>
      <c r="Q115">
        <v>25</v>
      </c>
      <c r="R115">
        <v>20</v>
      </c>
      <c r="S115">
        <v>6</v>
      </c>
      <c r="T115">
        <v>7</v>
      </c>
      <c r="U115">
        <v>11</v>
      </c>
      <c r="V115">
        <v>14000</v>
      </c>
      <c r="W115">
        <v>4</v>
      </c>
      <c r="X115">
        <v>3</v>
      </c>
    </row>
    <row r="116" spans="1:24" x14ac:dyDescent="0.4">
      <c r="A116" t="s">
        <v>134</v>
      </c>
      <c r="B116">
        <v>0</v>
      </c>
      <c r="C116">
        <v>2.002670226969293E-3</v>
      </c>
      <c r="D116">
        <v>0.12</v>
      </c>
      <c r="E116">
        <v>1.6528925619834711E-2</v>
      </c>
      <c r="F116">
        <v>8.8888888888888892E-2</v>
      </c>
      <c r="G116">
        <v>3.0612244897959179E-2</v>
      </c>
      <c r="H116">
        <v>7.326007326007326E-3</v>
      </c>
      <c r="I116">
        <v>5.4441260744985683E-2</v>
      </c>
      <c r="J116">
        <v>0.14285714285714279</v>
      </c>
      <c r="K116">
        <v>0.1111111111111111</v>
      </c>
      <c r="L116">
        <f t="shared" si="1"/>
        <v>4.8550695361389762</v>
      </c>
      <c r="O116">
        <v>0</v>
      </c>
      <c r="P116">
        <v>50000000</v>
      </c>
      <c r="Q116">
        <v>15</v>
      </c>
      <c r="R116">
        <v>12</v>
      </c>
      <c r="S116">
        <v>6</v>
      </c>
      <c r="T116">
        <v>5</v>
      </c>
      <c r="U116">
        <v>8</v>
      </c>
      <c r="V116">
        <v>10000</v>
      </c>
      <c r="W116">
        <v>3</v>
      </c>
      <c r="X116">
        <v>2</v>
      </c>
    </row>
    <row r="117" spans="1:24" x14ac:dyDescent="0.4">
      <c r="A117" t="s">
        <v>135</v>
      </c>
      <c r="B117">
        <v>0</v>
      </c>
      <c r="C117">
        <v>2.6702269692923902E-3</v>
      </c>
      <c r="D117">
        <v>0.16800000000000001</v>
      </c>
      <c r="E117">
        <v>2.8925619834710741E-2</v>
      </c>
      <c r="F117">
        <v>6.6666666666666666E-2</v>
      </c>
      <c r="G117">
        <v>4.0816326530612242E-2</v>
      </c>
      <c r="H117">
        <v>1.098901098901099E-2</v>
      </c>
      <c r="I117">
        <v>6.5902578796561598E-2</v>
      </c>
      <c r="J117">
        <v>0.14285714285714279</v>
      </c>
      <c r="K117">
        <v>0.1111111111111111</v>
      </c>
      <c r="L117">
        <f t="shared" si="1"/>
        <v>5.6404241672167625</v>
      </c>
      <c r="O117">
        <v>0</v>
      </c>
      <c r="P117">
        <v>60000000</v>
      </c>
      <c r="Q117">
        <v>18</v>
      </c>
      <c r="R117">
        <v>15</v>
      </c>
      <c r="S117">
        <v>5</v>
      </c>
      <c r="T117">
        <v>6</v>
      </c>
      <c r="U117">
        <v>10</v>
      </c>
      <c r="V117">
        <v>12000</v>
      </c>
      <c r="W117">
        <v>3</v>
      </c>
      <c r="X117">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8E25-A11D-4D9B-AFD2-20C01892F415}">
  <dimension ref="A1:B113"/>
  <sheetViews>
    <sheetView tabSelected="1" workbookViewId="0">
      <selection activeCell="E2" sqref="E2"/>
    </sheetView>
  </sheetViews>
  <sheetFormatPr defaultRowHeight="14.6" x14ac:dyDescent="0.4"/>
  <cols>
    <col min="1" max="1" width="78.765625" bestFit="1" customWidth="1"/>
    <col min="2" max="2" width="11.84375" bestFit="1" customWidth="1"/>
    <col min="3" max="3" width="27" customWidth="1"/>
  </cols>
  <sheetData>
    <row r="1" spans="1:2" s="1" customFormat="1" x14ac:dyDescent="0.4">
      <c r="A1" s="1" t="s">
        <v>0</v>
      </c>
      <c r="B1" s="1" t="s">
        <v>570</v>
      </c>
    </row>
    <row r="2" spans="1:2" x14ac:dyDescent="0.4">
      <c r="A2" s="4" t="str">
        <f>Sheet2!A33</f>
        <v>NASSCOM 10,000 Startups</v>
      </c>
      <c r="B2" s="4">
        <f>Sheet2!L33</f>
        <v>57.689869296060749</v>
      </c>
    </row>
    <row r="3" spans="1:2" x14ac:dyDescent="0.4">
      <c r="A3" s="4" t="str">
        <f>Sheet2!A11</f>
        <v>CIIE IIM-A</v>
      </c>
      <c r="B3" s="4">
        <f>Sheet2!L11</f>
        <v>44.804525527410718</v>
      </c>
    </row>
    <row r="4" spans="1:2" x14ac:dyDescent="0.4">
      <c r="A4" s="4" t="str">
        <f>Sheet2!A99</f>
        <v>T-Hub</v>
      </c>
      <c r="B4" s="4">
        <f>Sheet2!L99</f>
        <v>43.664805521087523</v>
      </c>
    </row>
    <row r="5" spans="1:2" x14ac:dyDescent="0.4">
      <c r="A5" s="4" t="str">
        <f>Sheet2!A101</f>
        <v>SINE (Society for Innovation &amp; Entrepreneurship) - IIT Bombay</v>
      </c>
      <c r="B5" s="4">
        <f>Sheet2!L101</f>
        <v>42.152850797492562</v>
      </c>
    </row>
    <row r="6" spans="1:2" x14ac:dyDescent="0.4">
      <c r="A6" s="4" t="str">
        <f>Sheet2!A21</f>
        <v>IIT Madras Incubation Cell (IITMIC)</v>
      </c>
      <c r="B6" s="4">
        <f>Sheet2!L21</f>
        <v>39.45622740588032</v>
      </c>
    </row>
    <row r="7" spans="1:2" x14ac:dyDescent="0.4">
      <c r="A7" s="4" t="str">
        <f>Sheet2!A17</f>
        <v>Foundation For Innovation And Technology Transfer, IIT-D</v>
      </c>
      <c r="B7" s="4">
        <f>Sheet2!L17</f>
        <v>35.266202089635541</v>
      </c>
    </row>
    <row r="8" spans="1:2" x14ac:dyDescent="0.4">
      <c r="A8" s="4" t="str">
        <f>Sheet2!A29</f>
        <v>Life Science Incubator at IKP Knowledge Park</v>
      </c>
      <c r="B8" s="4">
        <f>Sheet2!L29</f>
        <v>33.433264153476358</v>
      </c>
    </row>
    <row r="9" spans="1:2" x14ac:dyDescent="0.4">
      <c r="A9" s="4" t="str">
        <f>Sheet2!A37</f>
        <v>NSRCEL, IIM Bangalore</v>
      </c>
      <c r="B9" s="4">
        <f>Sheet2!L37</f>
        <v>32.111103845303411</v>
      </c>
    </row>
    <row r="10" spans="1:2" x14ac:dyDescent="0.4">
      <c r="A10" s="4" t="str">
        <f>Sheet2!A28</f>
        <v>Kerala Startup Mission KSUM</v>
      </c>
      <c r="B10" s="4">
        <f>Sheet2!L28</f>
        <v>31.865273459903769</v>
      </c>
    </row>
    <row r="11" spans="1:2" x14ac:dyDescent="0.4">
      <c r="A11" s="4" t="str">
        <f>Sheet2!A102</f>
        <v>Maker Village - Kochi</v>
      </c>
      <c r="B11" s="4">
        <f>Sheet2!L102</f>
        <v>31.039531174805425</v>
      </c>
    </row>
    <row r="12" spans="1:2" x14ac:dyDescent="0.4">
      <c r="A12" s="4" t="str">
        <f>Sheet2!A6</f>
        <v>Bio Incubator at C-CAMP</v>
      </c>
      <c r="B12" s="4">
        <f>Sheet2!L6</f>
        <v>27.33383070546229</v>
      </c>
    </row>
    <row r="13" spans="1:2" x14ac:dyDescent="0.4">
      <c r="A13" s="4" t="str">
        <f>Sheet2!A19</f>
        <v>IIM Calcutta Innovation Park</v>
      </c>
      <c r="B13" s="4">
        <f>Sheet2!L19</f>
        <v>25.42607005320091</v>
      </c>
    </row>
    <row r="14" spans="1:2" x14ac:dyDescent="0.4">
      <c r="A14" s="4" t="str">
        <f>Sheet2!A62</f>
        <v>Venture Center</v>
      </c>
      <c r="B14" s="4">
        <f>Sheet2!L62</f>
        <v>24.577253672389237</v>
      </c>
    </row>
    <row r="15" spans="1:2" x14ac:dyDescent="0.4">
      <c r="A15" s="4" t="str">
        <f>Sheet2!A87</f>
        <v>STEP- IIT Roorkee</v>
      </c>
      <c r="B15" s="4">
        <f>Sheet2!L87</f>
        <v>24.033742039461764</v>
      </c>
    </row>
    <row r="16" spans="1:2" x14ac:dyDescent="0.4">
      <c r="A16" s="4" t="str">
        <f>Sheet2!A79</f>
        <v>MITCON Biotechnology Business Incubation Centre</v>
      </c>
      <c r="B16" s="4">
        <f>Sheet2!L79</f>
        <v>23.526259750332475</v>
      </c>
    </row>
    <row r="17" spans="1:2" x14ac:dyDescent="0.4">
      <c r="A17" s="4" t="str">
        <f>Sheet2!A44</f>
        <v>SIDBI Innovation &amp; Incubation Centre, IIT Kanpur</v>
      </c>
      <c r="B17" s="4">
        <f>Sheet2!L44</f>
        <v>23.499250418087275</v>
      </c>
    </row>
    <row r="18" spans="1:2" x14ac:dyDescent="0.4">
      <c r="A18" s="4" t="str">
        <f>Sheet2!A22</f>
        <v>IIIT-H Foundation</v>
      </c>
      <c r="B18" s="4">
        <f>Sheet2!L22</f>
        <v>21.450475794971268</v>
      </c>
    </row>
    <row r="19" spans="1:2" x14ac:dyDescent="0.4">
      <c r="A19" s="4" t="str">
        <f>Sheet2!A2</f>
        <v>Amity Innovation Incubator</v>
      </c>
      <c r="B19" s="4">
        <f>Sheet2!L2</f>
        <v>20.919959493945658</v>
      </c>
    </row>
    <row r="20" spans="1:2" x14ac:dyDescent="0.4">
      <c r="A20" s="4" t="str">
        <f>Sheet2!A100</f>
        <v>IKP Eden</v>
      </c>
      <c r="B20" s="4">
        <f>Sheet2!L100</f>
        <v>20.390061240001994</v>
      </c>
    </row>
    <row r="21" spans="1:2" x14ac:dyDescent="0.4">
      <c r="A21" s="4" t="s">
        <v>572</v>
      </c>
      <c r="B21" s="4">
        <f>Sheet2!L51</f>
        <v>20.244647369923527</v>
      </c>
    </row>
    <row r="22" spans="1:2" x14ac:dyDescent="0.4">
      <c r="A22" t="str">
        <f>Sheet2!A84</f>
        <v>Science &amp; Technology Entrepreneurs Park</v>
      </c>
      <c r="B22">
        <f>Sheet2!L84</f>
        <v>18.738351357977098</v>
      </c>
    </row>
    <row r="23" spans="1:2" x14ac:dyDescent="0.4">
      <c r="A23" t="str">
        <f>Sheet2!A16</f>
        <v>DLabs</v>
      </c>
      <c r="B23">
        <f>Sheet2!L16</f>
        <v>17.909923137351509</v>
      </c>
    </row>
    <row r="24" spans="1:2" x14ac:dyDescent="0.4">
      <c r="A24" t="str">
        <f>Sheet2!A3</f>
        <v>Amrita TBI, Amrita VishwaVidhyapeetham</v>
      </c>
      <c r="B24">
        <f>Sheet2!L3</f>
        <v>17.794813583604217</v>
      </c>
    </row>
    <row r="25" spans="1:2" x14ac:dyDescent="0.4">
      <c r="A25" t="str">
        <f>Sheet2!A55</f>
        <v>TIETS, IIT Kgp</v>
      </c>
      <c r="B25">
        <f>Sheet2!L55</f>
        <v>17.774135030925216</v>
      </c>
    </row>
    <row r="26" spans="1:2" x14ac:dyDescent="0.4">
      <c r="A26" t="str">
        <f>Sheet2!A64</f>
        <v>Wadhwani Centre For Entrepreneurship Development</v>
      </c>
      <c r="B26">
        <f>Sheet2!L64</f>
        <v>17.771541106411146</v>
      </c>
    </row>
    <row r="27" spans="1:2" x14ac:dyDescent="0.4">
      <c r="A27" t="str">
        <f>Sheet2!A86</f>
        <v>Society for Innovation &amp; Development (SID)</v>
      </c>
      <c r="B27">
        <f>Sheet2!L86</f>
        <v>17.713004163524079</v>
      </c>
    </row>
    <row r="28" spans="1:2" x14ac:dyDescent="0.4">
      <c r="A28" t="str">
        <f>Sheet2!A20</f>
        <v>IIT Hyderabad Incubator</v>
      </c>
      <c r="B28">
        <f>Sheet2!L20</f>
        <v>17.079320133389373</v>
      </c>
    </row>
    <row r="29" spans="1:2" x14ac:dyDescent="0.4">
      <c r="A29" t="str">
        <f>Sheet2!A31</f>
        <v>Manipal University Technology Business Incubator</v>
      </c>
      <c r="B29">
        <f>Sheet2!L31</f>
        <v>17.075985373415911</v>
      </c>
    </row>
    <row r="30" spans="1:2" x14ac:dyDescent="0.4">
      <c r="A30" t="str">
        <f>Sheet2!A78</f>
        <v>MITCON Biopharma</v>
      </c>
      <c r="B30">
        <f>Sheet2!L78</f>
        <v>16.980960281521089</v>
      </c>
    </row>
    <row r="31" spans="1:2" x14ac:dyDescent="0.4">
      <c r="A31" t="str">
        <f>Sheet2!A12</f>
        <v>Coimbatore Innovation and Business Incubator</v>
      </c>
      <c r="B31">
        <f>Sheet2!L12</f>
        <v>16.813255622964785</v>
      </c>
    </row>
    <row r="32" spans="1:2" x14ac:dyDescent="0.4">
      <c r="A32" t="str">
        <f>Sheet2!A39</f>
        <v>PSG-STEP</v>
      </c>
      <c r="B32">
        <f>Sheet2!L39</f>
        <v>16.51953251340899</v>
      </c>
    </row>
    <row r="33" spans="1:2" x14ac:dyDescent="0.4">
      <c r="A33" t="str">
        <f>Sheet2!A63</f>
        <v>Villgro Innovations Foundation</v>
      </c>
      <c r="B33">
        <f>Sheet2!L63</f>
        <v>16.489746493549269</v>
      </c>
    </row>
    <row r="34" spans="1:2" x14ac:dyDescent="0.4">
      <c r="A34" t="str">
        <f>Sheet2!A27</f>
        <v>International Centre for Entrepreneurship and Technology</v>
      </c>
      <c r="B34">
        <f>Sheet2!L27</f>
        <v>16.456549438820481</v>
      </c>
    </row>
    <row r="35" spans="1:2" x14ac:dyDescent="0.4">
      <c r="A35" t="str">
        <f>Sheet2!A56</f>
        <v>Technology Business Incubator, KIIT University</v>
      </c>
      <c r="B35">
        <f>Sheet2!L56</f>
        <v>16.422655961057515</v>
      </c>
    </row>
    <row r="36" spans="1:2" x14ac:dyDescent="0.4">
      <c r="A36" t="str">
        <f>Sheet2!A36</f>
        <v>NIT TREC-STEP</v>
      </c>
      <c r="B36">
        <f>Sheet2!L36</f>
        <v>16.334478833787529</v>
      </c>
    </row>
    <row r="37" spans="1:2" x14ac:dyDescent="0.4">
      <c r="A37" t="str">
        <f>Sheet2!A42</f>
        <v>Rural Technology and Business Incubator (RTBI)</v>
      </c>
      <c r="B37">
        <f>Sheet2!L42</f>
        <v>16.035602739382838</v>
      </c>
    </row>
    <row r="38" spans="1:2" x14ac:dyDescent="0.4">
      <c r="A38" t="str">
        <f>Sheet2!A7</f>
        <v>CED</v>
      </c>
      <c r="B38">
        <f>Sheet2!L7</f>
        <v>15.786633771635913</v>
      </c>
    </row>
    <row r="39" spans="1:2" x14ac:dyDescent="0.4">
      <c r="A39" t="str">
        <f>Sheet2!A30</f>
        <v>Malviya Centre for Innovation Incubation &amp; Entrepreneurship, IIT BHU</v>
      </c>
      <c r="B39">
        <f>Sheet2!L30</f>
        <v>15.204607463027841</v>
      </c>
    </row>
    <row r="40" spans="1:2" x14ac:dyDescent="0.4">
      <c r="A40" t="str">
        <f>Sheet2!A43</f>
        <v>Science &amp; Technology Park, University of Pune</v>
      </c>
      <c r="B40">
        <f>Sheet2!L43</f>
        <v>15.136611262690325</v>
      </c>
    </row>
    <row r="41" spans="1:2" x14ac:dyDescent="0.4">
      <c r="A41" t="str">
        <f>Sheet2!A81</f>
        <v>niet-technology-business-incubatorNIET Technology Business Incubator</v>
      </c>
      <c r="B41">
        <f>Sheet2!L81</f>
        <v>14.8763303549008</v>
      </c>
    </row>
    <row r="42" spans="1:2" x14ac:dyDescent="0.4">
      <c r="A42" t="str">
        <f>Sheet2!A89</f>
        <v>TBI at Krishnapath Incubation Society</v>
      </c>
      <c r="B42">
        <f>Sheet2!L89</f>
        <v>14.360000577444504</v>
      </c>
    </row>
    <row r="43" spans="1:2" x14ac:dyDescent="0.4">
      <c r="A43" t="str">
        <f>Sheet2!A65</f>
        <v>Zone Startups India</v>
      </c>
      <c r="B43">
        <f>Sheet2!L65</f>
        <v>14.301406536383004</v>
      </c>
    </row>
    <row r="44" spans="1:2" x14ac:dyDescent="0.4">
      <c r="A44" t="str">
        <f>Sheet2!A61</f>
        <v>Vellore Institute of Technology – Technology Business Incubator</v>
      </c>
      <c r="B44">
        <f>Sheet2!L61</f>
        <v>14.0096140724475</v>
      </c>
    </row>
    <row r="45" spans="1:2" x14ac:dyDescent="0.4">
      <c r="A45" t="str">
        <f>Sheet2!A49</f>
        <v>STEP, Thapar University</v>
      </c>
      <c r="B45">
        <f>Sheet2!L49</f>
        <v>13.913878839645932</v>
      </c>
    </row>
    <row r="46" spans="1:2" x14ac:dyDescent="0.4">
      <c r="A46" t="str">
        <f>Sheet2!A23</f>
        <v>IIT Gandhinagar Incubator</v>
      </c>
      <c r="B46">
        <f>Sheet2!L23</f>
        <v>13.46504530118262</v>
      </c>
    </row>
    <row r="47" spans="1:2" x14ac:dyDescent="0.4">
      <c r="A47" t="str">
        <f>Sheet2!A103</f>
        <v>IIT Mandi Catalyst</v>
      </c>
      <c r="B47">
        <f>Sheet2!L103</f>
        <v>13.152054900266993</v>
      </c>
    </row>
    <row r="48" spans="1:2" x14ac:dyDescent="0.4">
      <c r="A48" t="str">
        <f>Sheet2!A14</f>
        <v>Consumer Electronics Incubator at Cochin, Kerala</v>
      </c>
      <c r="B48">
        <f>Sheet2!L14</f>
        <v>13.081066260079627</v>
      </c>
    </row>
    <row r="49" spans="1:2" x14ac:dyDescent="0.4">
      <c r="A49" t="str">
        <f>Sheet2!A48</f>
        <v>STEP-Birla Institute of Technology</v>
      </c>
      <c r="B49">
        <f>Sheet2!L48</f>
        <v>12.887960411034532</v>
      </c>
    </row>
    <row r="50" spans="1:2" x14ac:dyDescent="0.4">
      <c r="A50" t="str">
        <f>Sheet2!A98</f>
        <v>Flipkart Leap</v>
      </c>
      <c r="B50">
        <f>Sheet2!L98</f>
        <v>12.769535777496868</v>
      </c>
    </row>
    <row r="51" spans="1:2" x14ac:dyDescent="0.4">
      <c r="A51" t="str">
        <f>Sheet2!A10</f>
        <v>Center For Incubation and Business Acceleration</v>
      </c>
      <c r="B51">
        <f>Sheet2!L10</f>
        <v>12.686615565597375</v>
      </c>
    </row>
    <row r="52" spans="1:2" x14ac:dyDescent="0.4">
      <c r="A52" t="str">
        <f>Sheet2!A95</f>
        <v>Vel Tech Technology Incubator startup-incubators</v>
      </c>
      <c r="B52">
        <f>Sheet2!L95</f>
        <v>12.547932836574594</v>
      </c>
    </row>
    <row r="53" spans="1:2" x14ac:dyDescent="0.4">
      <c r="A53" t="str">
        <f>Sheet2!A24</f>
        <v>IITG – Technology Incubation Centre (IITG-TIC)</v>
      </c>
      <c r="B53">
        <f>Sheet2!L24</f>
        <v>12.535185840364239</v>
      </c>
    </row>
    <row r="54" spans="1:2" x14ac:dyDescent="0.4">
      <c r="A54" t="str">
        <f>Sheet2!A92</f>
        <v>Technology Business Incubator</v>
      </c>
      <c r="B54">
        <f>Sheet2!L92</f>
        <v>12.431393367516485</v>
      </c>
    </row>
    <row r="55" spans="1:2" x14ac:dyDescent="0.4">
      <c r="A55" t="str">
        <f>Sheet2!A96</f>
        <v>Patel Pharmaceutical Education &amp; Research Development (PERD) Centre</v>
      </c>
      <c r="B55">
        <f>Sheet2!L96</f>
        <v>12.172893223811824</v>
      </c>
    </row>
    <row r="56" spans="1:2" x14ac:dyDescent="0.4">
      <c r="A56" t="str">
        <f>Sheet2!A35</f>
        <v>NITK-Science Technology Entrepreneurship Park</v>
      </c>
      <c r="B56">
        <f>Sheet2!L35</f>
        <v>12.102347427583132</v>
      </c>
    </row>
    <row r="57" spans="1:2" x14ac:dyDescent="0.4">
      <c r="A57" t="str">
        <f>Sheet2!A72</f>
        <v>Healthcare Technology Innovation Centre (HTIC)</v>
      </c>
      <c r="B57">
        <f>Sheet2!L72</f>
        <v>11.988952115923086</v>
      </c>
    </row>
    <row r="58" spans="1:2" x14ac:dyDescent="0.4">
      <c r="A58" t="str">
        <f>Sheet2!A70</f>
        <v>Golden Jublee Women Biotech Park</v>
      </c>
      <c r="B58">
        <f>Sheet2!L70</f>
        <v>11.858182965699465</v>
      </c>
    </row>
    <row r="59" spans="1:2" x14ac:dyDescent="0.4">
      <c r="A59" t="str">
        <f>Sheet2!A32</f>
        <v>MICA – Incubator</v>
      </c>
      <c r="B59">
        <f>Sheet2!L32</f>
        <v>11.698082263786839</v>
      </c>
    </row>
    <row r="60" spans="1:2" x14ac:dyDescent="0.4">
      <c r="A60" t="str">
        <f>Sheet2!A47</f>
        <v>Startup Oasis Rajasthan</v>
      </c>
      <c r="B60">
        <f>Sheet2!L47</f>
        <v>11.465959556143854</v>
      </c>
    </row>
    <row r="61" spans="1:2" x14ac:dyDescent="0.4">
      <c r="A61" t="str">
        <f>Sheet2!A71</f>
        <v>Gujarat State Biotechnology Mission (GSBTM)</v>
      </c>
      <c r="B61">
        <f>Sheet2!L71</f>
        <v>11.443414834611392</v>
      </c>
    </row>
    <row r="62" spans="1:2" x14ac:dyDescent="0.4">
      <c r="A62" t="str">
        <f>Sheet2!A66</f>
        <v>Centre for Innovation and Entrepreneurship, IIIT-H</v>
      </c>
      <c r="B62">
        <f>Sheet2!L66</f>
        <v>11.350824187049797</v>
      </c>
    </row>
    <row r="63" spans="1:2" x14ac:dyDescent="0.4">
      <c r="A63" t="str">
        <f>Sheet2!A88</f>
        <v>St.Peter’s Engineering College – Technology Business Incubator</v>
      </c>
      <c r="B63">
        <f>Sheet2!L88</f>
        <v>10.973289626050198</v>
      </c>
    </row>
    <row r="64" spans="1:2" x14ac:dyDescent="0.4">
      <c r="A64" t="str">
        <f>Sheet2!A34</f>
        <v>NDBI (NID Incubator)</v>
      </c>
      <c r="B64">
        <f>Sheet2!L34</f>
        <v>10.616469108050216</v>
      </c>
    </row>
    <row r="65" spans="1:2" x14ac:dyDescent="0.4">
      <c r="A65" t="str">
        <f>Sheet2!A26</f>
        <v>Innovation &amp; Incubation Centre</v>
      </c>
      <c r="B65">
        <f>Sheet2!L26</f>
        <v>10.312103935916783</v>
      </c>
    </row>
    <row r="66" spans="1:2" x14ac:dyDescent="0.4">
      <c r="A66" t="str">
        <f>Sheet2!A77</f>
        <v>KSIDC, Kerala</v>
      </c>
      <c r="B66">
        <f>Sheet2!L77</f>
        <v>10.041070832769496</v>
      </c>
    </row>
    <row r="67" spans="1:2" x14ac:dyDescent="0.4">
      <c r="A67" t="str">
        <f>Sheet2!A52</f>
        <v>Technology Business Incubator, Centre for Biotechnology, Anna University</v>
      </c>
      <c r="B67">
        <f>Sheet2!L52</f>
        <v>9.7871288682489155</v>
      </c>
    </row>
    <row r="68" spans="1:2" x14ac:dyDescent="0.4">
      <c r="A68" t="str">
        <f>Sheet2!A38</f>
        <v>Periyar Technology Business Incubator</v>
      </c>
      <c r="B68">
        <f>Sheet2!L38</f>
        <v>9.7815892311906545</v>
      </c>
    </row>
    <row r="69" spans="1:2" x14ac:dyDescent="0.4">
      <c r="A69" t="str">
        <f>Sheet2!A115</f>
        <v>NFDI (NIFT Foundation for Design Innovation)</v>
      </c>
      <c r="B69">
        <f>Sheet2!L115</f>
        <v>9.6542249319777262</v>
      </c>
    </row>
    <row r="70" spans="1:2" x14ac:dyDescent="0.4">
      <c r="A70" t="str">
        <f>Sheet2!A107</f>
        <v>IIM Udaipur Incubation Centre</v>
      </c>
      <c r="B70">
        <f>Sheet2!L107</f>
        <v>9.5093149277144686</v>
      </c>
    </row>
    <row r="71" spans="1:2" x14ac:dyDescent="0.4">
      <c r="A71" t="str">
        <f>Sheet2!A8</f>
        <v>Centre For Entrepreneurship and Development</v>
      </c>
      <c r="B71">
        <f>Sheet2!L8</f>
        <v>9.5007146272722576</v>
      </c>
    </row>
    <row r="72" spans="1:2" x14ac:dyDescent="0.4">
      <c r="A72" t="str">
        <f>Sheet2!A4</f>
        <v>BAIT-TBI (Bannari Amman Institute of Technology – Technology Business Incubator)</v>
      </c>
      <c r="B72">
        <f>Sheet2!L4</f>
        <v>9.3269284528119094</v>
      </c>
    </row>
    <row r="73" spans="1:2" x14ac:dyDescent="0.4">
      <c r="A73" t="str">
        <f>Sheet2!A57</f>
        <v>Technology Business Incubator NIT Calicut</v>
      </c>
      <c r="B73">
        <f>Sheet2!L57</f>
        <v>9.2711275947691334</v>
      </c>
    </row>
    <row r="74" spans="1:2" x14ac:dyDescent="0.4">
      <c r="A74" t="str">
        <f>Sheet2!A40</f>
        <v>Sardar Patel Technology Business Incubator</v>
      </c>
      <c r="B74">
        <f>Sheet2!L40</f>
        <v>9.2586522405952465</v>
      </c>
    </row>
    <row r="75" spans="1:2" x14ac:dyDescent="0.4">
      <c r="A75" t="str">
        <f>Sheet2!A5</f>
        <v>Bihar Entrepreneurs Association (BEA)</v>
      </c>
      <c r="B75">
        <f>Sheet2!L5</f>
        <v>9.2081104199404926</v>
      </c>
    </row>
    <row r="76" spans="1:2" x14ac:dyDescent="0.4">
      <c r="A76" t="str">
        <f>Sheet2!A53</f>
        <v>Technology Business Incubator, Graphic Era University, Dehradun</v>
      </c>
      <c r="B76">
        <f>Sheet2!L53</f>
        <v>9.1309557802446228</v>
      </c>
    </row>
    <row r="77" spans="1:2" x14ac:dyDescent="0.4">
      <c r="A77" t="str">
        <f>Sheet2!A9</f>
        <v>CET – Technology Business Incubator</v>
      </c>
      <c r="B77">
        <f>Sheet2!L9</f>
        <v>8.7098358971970367</v>
      </c>
    </row>
    <row r="78" spans="1:2" x14ac:dyDescent="0.4">
      <c r="A78" t="str">
        <f>Sheet2!A69</f>
        <v>Ekta Incubation Center, Maulana Kalam Azad University of Technology</v>
      </c>
      <c r="B78">
        <f>Sheet2!L69</f>
        <v>8.6641696370948438</v>
      </c>
    </row>
    <row r="79" spans="1:2" x14ac:dyDescent="0.4">
      <c r="A79" t="str">
        <f>Sheet2!A67</f>
        <v>Development of Entrepreneurs Through Incubation (DETI@ACE)</v>
      </c>
      <c r="B79">
        <f>Sheet2!L67</f>
        <v>8.5519323523807902</v>
      </c>
    </row>
    <row r="80" spans="1:2" x14ac:dyDescent="0.4">
      <c r="A80" t="str">
        <f>Sheet2!A58</f>
        <v>Technology Business Incubator for Medical Devices &amp; Biomaterials</v>
      </c>
      <c r="B80">
        <f>Sheet2!L58</f>
        <v>8.1968147093429291</v>
      </c>
    </row>
    <row r="81" spans="1:2" x14ac:dyDescent="0.4">
      <c r="A81" t="str">
        <f>Sheet2!A41</f>
        <v>Sathyabama University-TBI</v>
      </c>
      <c r="B81">
        <f>Sheet2!L41</f>
        <v>7.910898473654365</v>
      </c>
    </row>
    <row r="82" spans="1:2" x14ac:dyDescent="0.4">
      <c r="A82" t="str">
        <f>Sheet2!A90</f>
        <v>Technology Incubation and Development of Entrepreneurship</v>
      </c>
      <c r="B82">
        <f>Sheet2!L90</f>
        <v>7.8634955762617782</v>
      </c>
    </row>
    <row r="83" spans="1:2" x14ac:dyDescent="0.4">
      <c r="A83" t="str">
        <f>Sheet2!A59</f>
        <v>University of Madras, Technology Business Incubator</v>
      </c>
      <c r="B83">
        <f>Sheet2!L59</f>
        <v>7.6745611268820086</v>
      </c>
    </row>
    <row r="84" spans="1:2" x14ac:dyDescent="0.4">
      <c r="A84" t="str">
        <f>Sheet2!A25</f>
        <v>Incube Ventures</v>
      </c>
      <c r="B84">
        <f>Sheet2!L25</f>
        <v>7.5629206048799222</v>
      </c>
    </row>
    <row r="85" spans="1:2" x14ac:dyDescent="0.4">
      <c r="A85" t="str">
        <f>Sheet2!A68</f>
        <v>DKTE Technology Business Incubator</v>
      </c>
      <c r="B85">
        <f>Sheet2!L68</f>
        <v>7.5193127122145418</v>
      </c>
    </row>
    <row r="86" spans="1:2" x14ac:dyDescent="0.4">
      <c r="A86" t="str">
        <f>Sheet2!A91</f>
        <v>Technology Innovation and Incubation Centre</v>
      </c>
      <c r="B86">
        <f>Sheet2!L91</f>
        <v>7.4836345690386468</v>
      </c>
    </row>
    <row r="87" spans="1:2" x14ac:dyDescent="0.4">
      <c r="A87" t="str">
        <f>Sheet2!A85</f>
        <v>Shri Shankaracharya Technical Campus</v>
      </c>
      <c r="B87">
        <f>Sheet2!L85</f>
        <v>7.4750508853759472</v>
      </c>
    </row>
    <row r="88" spans="1:2" x14ac:dyDescent="0.4">
      <c r="A88" t="str">
        <f>Sheet2!A45</f>
        <v>SMVDU TBIC</v>
      </c>
      <c r="B88">
        <f>Sheet2!L45</f>
        <v>7.4320122976670646</v>
      </c>
    </row>
    <row r="89" spans="1:2" x14ac:dyDescent="0.4">
      <c r="A89" t="str">
        <f>Sheet2!A60</f>
        <v>UnLtd Hyderabad</v>
      </c>
      <c r="B89">
        <f>Sheet2!L60</f>
        <v>7.2560098052837976</v>
      </c>
    </row>
    <row r="90" spans="1:2" x14ac:dyDescent="0.4">
      <c r="A90" t="str">
        <f>Sheet2!A76</f>
        <v>Incubation Centre, IIT- Patna</v>
      </c>
      <c r="B90">
        <f>Sheet2!L76</f>
        <v>7.0727758155684111</v>
      </c>
    </row>
    <row r="91" spans="1:2" x14ac:dyDescent="0.4">
      <c r="A91" t="str">
        <f>Sheet2!A94</f>
        <v>Trident Business Incubator</v>
      </c>
      <c r="B91">
        <f>Sheet2!L94</f>
        <v>6.9145853896284342</v>
      </c>
    </row>
    <row r="92" spans="1:2" x14ac:dyDescent="0.4">
      <c r="A92" t="str">
        <f>Sheet2!A13</f>
        <v>Composites Technology Park</v>
      </c>
      <c r="B92">
        <f>Sheet2!L13</f>
        <v>6.9057573880135381</v>
      </c>
    </row>
    <row r="93" spans="1:2" x14ac:dyDescent="0.4">
      <c r="A93" t="str">
        <f>Sheet2!A46</f>
        <v>Society for Innovation &amp; Entrepreneurship in Dairying (SINED) Technology Business Incubator</v>
      </c>
      <c r="B93">
        <f>Sheet2!L46</f>
        <v>6.8798635608377383</v>
      </c>
    </row>
    <row r="94" spans="1:2" x14ac:dyDescent="0.4">
      <c r="A94" t="str">
        <f>Sheet2!A104</f>
        <v>AIC Pinnacle</v>
      </c>
      <c r="B94">
        <f>Sheet2!L104</f>
        <v>6.5447614151665849</v>
      </c>
    </row>
    <row r="95" spans="1:2" x14ac:dyDescent="0.4">
      <c r="A95" t="str">
        <f>Sheet2!A50</f>
        <v>Tagore Centre for Green Technology Business Incubation</v>
      </c>
      <c r="B95">
        <f>Sheet2!L50</f>
        <v>6.4107842731846887</v>
      </c>
    </row>
    <row r="96" spans="1:2" x14ac:dyDescent="0.4">
      <c r="A96" t="str">
        <f>Sheet2!A15</f>
        <v>DA-IICT Incubator CEID</v>
      </c>
      <c r="B96">
        <f>Sheet2!L15</f>
        <v>6.3782192021319153</v>
      </c>
    </row>
    <row r="97" spans="1:2" x14ac:dyDescent="0.4">
      <c r="A97" t="str">
        <f>Sheet2!A114</f>
        <v>AIC Banasthali</v>
      </c>
      <c r="B97">
        <f>Sheet2!L114</f>
        <v>6.2217892968323429</v>
      </c>
    </row>
    <row r="98" spans="1:2" x14ac:dyDescent="0.4">
      <c r="A98" t="str">
        <f>Sheet2!A82</f>
        <v>NSIC Technical Services Centre</v>
      </c>
      <c r="B98">
        <f>Sheet2!L82</f>
        <v>6.2115401477784191</v>
      </c>
    </row>
    <row r="99" spans="1:2" x14ac:dyDescent="0.4">
      <c r="A99" t="str">
        <f>Sheet2!A105</f>
        <v>AIC-CCMB</v>
      </c>
      <c r="B99">
        <f>Sheet2!L105</f>
        <v>5.791944024626039</v>
      </c>
    </row>
    <row r="100" spans="1:2" x14ac:dyDescent="0.4">
      <c r="A100" t="str">
        <f>Sheet2!A117</f>
        <v>AIC RAISE</v>
      </c>
      <c r="B100">
        <f>Sheet2!L117</f>
        <v>5.6404241672167625</v>
      </c>
    </row>
    <row r="101" spans="1:2" x14ac:dyDescent="0.4">
      <c r="A101" t="str">
        <f>Sheet2!A111</f>
        <v>AIC NIFT-TEA</v>
      </c>
      <c r="B101">
        <f>Sheet2!L111</f>
        <v>5.5382537707658619</v>
      </c>
    </row>
    <row r="102" spans="1:2" x14ac:dyDescent="0.4">
      <c r="A102" t="str">
        <f>Sheet2!A80</f>
        <v>National Small Industries Corporation Limited</v>
      </c>
      <c r="B102">
        <f>Sheet2!L80</f>
        <v>5.4263610313317852</v>
      </c>
    </row>
    <row r="103" spans="1:2" x14ac:dyDescent="0.4">
      <c r="A103" t="str">
        <f>Sheet2!A116</f>
        <v>Home &amp; Spaces Incubator</v>
      </c>
      <c r="B103">
        <f>Sheet2!L116</f>
        <v>4.8550695361389762</v>
      </c>
    </row>
    <row r="104" spans="1:2" x14ac:dyDescent="0.4">
      <c r="A104" t="str">
        <f>Sheet2!A73</f>
        <v>Hindustan College of Engineering and Technology</v>
      </c>
      <c r="B104">
        <f>Sheet2!L73</f>
        <v>4.8433854863443457</v>
      </c>
    </row>
    <row r="105" spans="1:2" x14ac:dyDescent="0.4">
      <c r="A105" t="str">
        <f>Sheet2!A108</f>
        <v>AIC-RNTU</v>
      </c>
      <c r="B105">
        <f>Sheet2!L108</f>
        <v>4.624527461847352</v>
      </c>
    </row>
    <row r="106" spans="1:2" x14ac:dyDescent="0.4">
      <c r="A106" t="str">
        <f>Sheet2!A75</f>
        <v>IIIT-Allahabad Info Communication Incubation Center</v>
      </c>
      <c r="B106">
        <f>Sheet2!L75</f>
        <v>4.2237263897168154</v>
      </c>
    </row>
    <row r="107" spans="1:2" x14ac:dyDescent="0.4">
      <c r="A107" t="str">
        <f>Sheet2!A74</f>
        <v>HIT Incubator, Hitech Institute of Technology</v>
      </c>
      <c r="B107">
        <f>Sheet2!L74</f>
        <v>3.8020001448696079</v>
      </c>
    </row>
    <row r="108" spans="1:2" x14ac:dyDescent="0.4">
      <c r="A108" t="str">
        <f>Sheet2!A109</f>
        <v>Crescent Innovation &amp; Incubation Council</v>
      </c>
      <c r="B108">
        <f>Sheet2!L109</f>
        <v>3.6430231570848202</v>
      </c>
    </row>
    <row r="109" spans="1:2" x14ac:dyDescent="0.4">
      <c r="A109" t="str">
        <f>Sheet2!A112</f>
        <v>AIC-Nalanda</v>
      </c>
      <c r="B109">
        <f>Sheet2!L112</f>
        <v>3.5110906515133462</v>
      </c>
    </row>
    <row r="110" spans="1:2" x14ac:dyDescent="0.4">
      <c r="A110" t="str">
        <f>Sheet2!A83</f>
        <v>ROLTA Innovation and Incubation Centre</v>
      </c>
      <c r="B110">
        <f>Sheet2!L83</f>
        <v>2.9647860676648197</v>
      </c>
    </row>
    <row r="111" spans="1:2" x14ac:dyDescent="0.4">
      <c r="A111" t="str">
        <f>Sheet2!A93</f>
        <v>imageTIDES Incubation Centre</v>
      </c>
      <c r="B111">
        <f>Sheet2!L93</f>
        <v>2.7988941277710495</v>
      </c>
    </row>
    <row r="112" spans="1:2" x14ac:dyDescent="0.4">
      <c r="A112" t="str">
        <f>Sheet2!A113</f>
        <v>AIC-SMUTBI</v>
      </c>
      <c r="B112">
        <f>Sheet2!L113</f>
        <v>2.1768217616036569</v>
      </c>
    </row>
    <row r="113" spans="1:2" x14ac:dyDescent="0.4">
      <c r="A113" t="str">
        <f>Sheet2!A110</f>
        <v>Idea Pattarai</v>
      </c>
      <c r="B113">
        <f>Sheet2!L110</f>
        <v>1.5179008541588346</v>
      </c>
    </row>
  </sheetData>
  <sortState xmlns:xlrd2="http://schemas.microsoft.com/office/spreadsheetml/2017/richdata2" ref="A2:B113">
    <sortCondition descending="1" ref="B2:B113"/>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kushagra pant</cp:lastModifiedBy>
  <dcterms:created xsi:type="dcterms:W3CDTF">2026-09-24T03:30:45Z</dcterms:created>
  <dcterms:modified xsi:type="dcterms:W3CDTF">2026-09-26T16:07:07Z</dcterms:modified>
</cp:coreProperties>
</file>